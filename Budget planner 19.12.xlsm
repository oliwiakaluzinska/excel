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-A301-09\Desktop\"/>
    </mc:Choice>
  </mc:AlternateContent>
  <xr:revisionPtr revIDLastSave="0" documentId="8_{C33B2BC9-F01C-45CB-8078-53C5226CEB0E}" xr6:coauthVersionLast="47" xr6:coauthVersionMax="47" xr10:uidLastSave="{00000000-0000-0000-0000-000000000000}"/>
  <bookViews>
    <workbookView xWindow="-120" yWindow="-120" windowWidth="29040" windowHeight="15840" activeTab="11" xr2:uid="{1350B4C1-6FA8-4F8D-9418-F675D7B2477F}"/>
  </bookViews>
  <sheets>
    <sheet name="1" sheetId="1" r:id="rId1"/>
    <sheet name="2" sheetId="3" r:id="rId2"/>
    <sheet name="3" sheetId="4" r:id="rId3"/>
    <sheet name="4" sheetId="5" r:id="rId4"/>
    <sheet name="5" sheetId="6" r:id="rId5"/>
    <sheet name="6" sheetId="7" r:id="rId6"/>
    <sheet name="7" sheetId="8" r:id="rId7"/>
    <sheet name="8" sheetId="9" r:id="rId8"/>
    <sheet name="9" sheetId="10" r:id="rId9"/>
    <sheet name="10" sheetId="11" r:id="rId10"/>
    <sheet name="11" sheetId="12" r:id="rId11"/>
    <sheet name="12" sheetId="13" r:id="rId1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7" i="13" l="1"/>
  <c r="V27" i="13"/>
  <c r="S27" i="13"/>
  <c r="R27" i="13"/>
  <c r="N27" i="13"/>
  <c r="M27" i="13"/>
  <c r="G27" i="13"/>
  <c r="B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27" i="13" s="1"/>
  <c r="A2" i="13" a="1"/>
  <c r="A2" i="13" s="1"/>
  <c r="W27" i="12"/>
  <c r="V27" i="12"/>
  <c r="S27" i="12"/>
  <c r="R27" i="12"/>
  <c r="N27" i="12"/>
  <c r="M27" i="12"/>
  <c r="G27" i="12"/>
  <c r="B27" i="12"/>
  <c r="X26" i="12"/>
  <c r="X25" i="12"/>
  <c r="X24" i="12"/>
  <c r="X23" i="12"/>
  <c r="X22" i="12"/>
  <c r="X21" i="12"/>
  <c r="X20" i="12"/>
  <c r="X19" i="12"/>
  <c r="X18" i="12"/>
  <c r="X17" i="12"/>
  <c r="X16" i="12"/>
  <c r="X15" i="12"/>
  <c r="X14" i="12"/>
  <c r="X27" i="12" s="1"/>
  <c r="X13" i="12"/>
  <c r="A2" i="12" a="1"/>
  <c r="A2" i="12" s="1"/>
  <c r="W27" i="11"/>
  <c r="V27" i="11"/>
  <c r="S27" i="11"/>
  <c r="R27" i="11"/>
  <c r="N27" i="11"/>
  <c r="M27" i="11"/>
  <c r="G27" i="11"/>
  <c r="B27" i="11"/>
  <c r="X26" i="11"/>
  <c r="X25" i="11"/>
  <c r="X24" i="11"/>
  <c r="X23" i="11"/>
  <c r="X22" i="11"/>
  <c r="X21" i="11"/>
  <c r="X20" i="11"/>
  <c r="X19" i="11"/>
  <c r="X18" i="11"/>
  <c r="X17" i="11"/>
  <c r="X16" i="11"/>
  <c r="X15" i="11"/>
  <c r="X14" i="11"/>
  <c r="X13" i="11"/>
  <c r="X27" i="11" s="1"/>
  <c r="A2" i="11" a="1"/>
  <c r="A2" i="11" s="1"/>
  <c r="L17" i="11" s="1"/>
  <c r="W27" i="10"/>
  <c r="V27" i="10"/>
  <c r="S27" i="10"/>
  <c r="R27" i="10"/>
  <c r="N27" i="10"/>
  <c r="M27" i="10"/>
  <c r="G27" i="10"/>
  <c r="B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X14" i="10"/>
  <c r="X13" i="10"/>
  <c r="X27" i="10" s="1"/>
  <c r="A2" i="10" a="1"/>
  <c r="A2" i="10" s="1"/>
  <c r="W27" i="9"/>
  <c r="V27" i="9"/>
  <c r="S27" i="9"/>
  <c r="R27" i="9"/>
  <c r="N27" i="9"/>
  <c r="M27" i="9"/>
  <c r="G27" i="9"/>
  <c r="B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27" i="9" s="1"/>
  <c r="A2" i="9" a="1"/>
  <c r="A2" i="9" s="1"/>
  <c r="W27" i="8"/>
  <c r="V27" i="8"/>
  <c r="S27" i="8"/>
  <c r="R27" i="8"/>
  <c r="N27" i="8"/>
  <c r="M27" i="8"/>
  <c r="G27" i="8"/>
  <c r="B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27" i="8" s="1"/>
  <c r="A2" i="8" a="1"/>
  <c r="A2" i="8" s="1"/>
  <c r="W27" i="7"/>
  <c r="V27" i="7"/>
  <c r="S27" i="7"/>
  <c r="R27" i="7"/>
  <c r="N27" i="7"/>
  <c r="M27" i="7"/>
  <c r="G27" i="7"/>
  <c r="B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27" i="7" s="1"/>
  <c r="A2" i="7" a="1"/>
  <c r="A2" i="7" s="1"/>
  <c r="L17" i="7" s="1"/>
  <c r="W27" i="6"/>
  <c r="V27" i="6"/>
  <c r="S27" i="6"/>
  <c r="R27" i="6"/>
  <c r="N27" i="6"/>
  <c r="M27" i="6"/>
  <c r="G27" i="6"/>
  <c r="B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X13" i="6"/>
  <c r="X27" i="6" s="1"/>
  <c r="A2" i="6" a="1"/>
  <c r="A2" i="6" s="1"/>
  <c r="W27" i="5"/>
  <c r="V27" i="5"/>
  <c r="S27" i="5"/>
  <c r="R27" i="5"/>
  <c r="N27" i="5"/>
  <c r="M27" i="5"/>
  <c r="G27" i="5"/>
  <c r="B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27" i="5" s="1"/>
  <c r="A2" i="5" a="1"/>
  <c r="A2" i="5" s="1"/>
  <c r="W27" i="4"/>
  <c r="V27" i="4"/>
  <c r="S27" i="4"/>
  <c r="R27" i="4"/>
  <c r="N27" i="4"/>
  <c r="M27" i="4"/>
  <c r="G27" i="4"/>
  <c r="B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27" i="4" s="1"/>
  <c r="A2" i="4" a="1"/>
  <c r="A2" i="4" s="1"/>
  <c r="W27" i="3"/>
  <c r="V27" i="3"/>
  <c r="S27" i="3"/>
  <c r="R27" i="3"/>
  <c r="N27" i="3"/>
  <c r="M27" i="3"/>
  <c r="G27" i="3"/>
  <c r="B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27" i="3" s="1"/>
  <c r="A2" i="3" a="1"/>
  <c r="A2" i="3" s="1"/>
  <c r="C7" i="13" a="1"/>
  <c r="B6" i="13" a="1"/>
  <c r="D7" i="13" a="1"/>
  <c r="B7" i="13" a="1"/>
  <c r="B5" i="13" a="1"/>
  <c r="C7" i="12" a="1"/>
  <c r="B6" i="12" a="1"/>
  <c r="D7" i="12" a="1"/>
  <c r="B7" i="12" a="1"/>
  <c r="B5" i="12" a="1"/>
  <c r="C7" i="11" a="1"/>
  <c r="B6" i="11" a="1"/>
  <c r="D7" i="11" a="1"/>
  <c r="B7" i="11" a="1"/>
  <c r="B5" i="11" a="1"/>
  <c r="C7" i="10" a="1"/>
  <c r="B6" i="10" a="1"/>
  <c r="D7" i="10" a="1"/>
  <c r="B7" i="10" a="1"/>
  <c r="B5" i="10" a="1"/>
  <c r="C7" i="9" a="1"/>
  <c r="B6" i="9" a="1"/>
  <c r="D7" i="9" a="1"/>
  <c r="B7" i="9" a="1"/>
  <c r="B5" i="9" a="1"/>
  <c r="C7" i="8" a="1"/>
  <c r="B6" i="8" a="1"/>
  <c r="B7" i="8" a="1"/>
  <c r="B5" i="8" a="1"/>
  <c r="D7" i="8" a="1"/>
  <c r="C7" i="7" a="1"/>
  <c r="B6" i="7" a="1"/>
  <c r="D7" i="7" a="1"/>
  <c r="B7" i="7" a="1"/>
  <c r="B5" i="7" a="1"/>
  <c r="D7" i="6" a="1"/>
  <c r="B5" i="6" a="1"/>
  <c r="C7" i="6" a="1"/>
  <c r="B6" i="6" a="1"/>
  <c r="B7" i="6" a="1"/>
  <c r="C7" i="5" a="1"/>
  <c r="B6" i="5" a="1"/>
  <c r="D7" i="5" a="1"/>
  <c r="B7" i="5" a="1"/>
  <c r="B5" i="5" a="1"/>
  <c r="C7" i="4" a="1"/>
  <c r="B6" i="4" a="1"/>
  <c r="D7" i="4" a="1"/>
  <c r="B7" i="4" a="1"/>
  <c r="B5" i="4" a="1"/>
  <c r="C7" i="3" a="1"/>
  <c r="B6" i="3" a="1"/>
  <c r="D7" i="3" a="1"/>
  <c r="B7" i="3" a="1"/>
  <c r="B5" i="3" a="1"/>
  <c r="D7" i="1" a="1"/>
  <c r="C7" i="1" a="1"/>
  <c r="B6" i="1" a="1"/>
  <c r="B7" i="1" a="1"/>
  <c r="B5" i="1" a="1"/>
  <c r="B5" i="13" l="1"/>
  <c r="B7" i="13"/>
  <c r="D7" i="13"/>
  <c r="B6" i="13"/>
  <c r="C7" i="13"/>
  <c r="L17" i="13"/>
  <c r="Q16" i="13"/>
  <c r="L13" i="13"/>
  <c r="L16" i="13"/>
  <c r="Q15" i="13"/>
  <c r="L15" i="13"/>
  <c r="Q14" i="13"/>
  <c r="L18" i="13"/>
  <c r="Q17" i="13"/>
  <c r="L14" i="13"/>
  <c r="Q13" i="13"/>
  <c r="B5" i="12"/>
  <c r="B7" i="12"/>
  <c r="D7" i="12"/>
  <c r="B6" i="12"/>
  <c r="C7" i="12"/>
  <c r="L17" i="12"/>
  <c r="Q16" i="12"/>
  <c r="L13" i="12"/>
  <c r="L16" i="12"/>
  <c r="Q15" i="12"/>
  <c r="L15" i="12"/>
  <c r="Q14" i="12"/>
  <c r="L18" i="12"/>
  <c r="Q17" i="12"/>
  <c r="L14" i="12"/>
  <c r="Q13" i="12"/>
  <c r="B5" i="11"/>
  <c r="B7" i="11"/>
  <c r="D7" i="11"/>
  <c r="B6" i="11"/>
  <c r="C7" i="11"/>
  <c r="Q13" i="11"/>
  <c r="L14" i="11"/>
  <c r="Q17" i="11"/>
  <c r="L18" i="11"/>
  <c r="Q14" i="11"/>
  <c r="L15" i="11"/>
  <c r="Q15" i="11"/>
  <c r="L16" i="11"/>
  <c r="L13" i="11"/>
  <c r="Q16" i="11"/>
  <c r="B5" i="10"/>
  <c r="B7" i="10"/>
  <c r="D7" i="10"/>
  <c r="B6" i="10"/>
  <c r="C7" i="10"/>
  <c r="L17" i="10"/>
  <c r="Q16" i="10"/>
  <c r="L13" i="10"/>
  <c r="L16" i="10"/>
  <c r="Q15" i="10"/>
  <c r="L15" i="10"/>
  <c r="Q14" i="10"/>
  <c r="L18" i="10"/>
  <c r="Q17" i="10"/>
  <c r="L14" i="10"/>
  <c r="Q13" i="10"/>
  <c r="B5" i="9"/>
  <c r="B7" i="9"/>
  <c r="D7" i="9"/>
  <c r="B6" i="9"/>
  <c r="C7" i="9"/>
  <c r="L17" i="9"/>
  <c r="Q16" i="9"/>
  <c r="L13" i="9"/>
  <c r="L15" i="9"/>
  <c r="Q14" i="9"/>
  <c r="L14" i="9"/>
  <c r="L16" i="9"/>
  <c r="Q15" i="9"/>
  <c r="L18" i="9"/>
  <c r="Q17" i="9"/>
  <c r="Q13" i="9"/>
  <c r="D7" i="8"/>
  <c r="B5" i="8"/>
  <c r="B7" i="8"/>
  <c r="B6" i="8"/>
  <c r="C7" i="8"/>
  <c r="L17" i="8"/>
  <c r="Q16" i="8"/>
  <c r="L13" i="8"/>
  <c r="L16" i="8"/>
  <c r="Q15" i="8"/>
  <c r="L15" i="8"/>
  <c r="Q14" i="8"/>
  <c r="L18" i="8"/>
  <c r="Q17" i="8"/>
  <c r="L14" i="8"/>
  <c r="Q13" i="8"/>
  <c r="B5" i="7"/>
  <c r="B7" i="7"/>
  <c r="D7" i="7"/>
  <c r="B6" i="7"/>
  <c r="C7" i="7"/>
  <c r="Q13" i="7"/>
  <c r="L14" i="7"/>
  <c r="Q17" i="7"/>
  <c r="L18" i="7"/>
  <c r="Q14" i="7"/>
  <c r="L15" i="7"/>
  <c r="Q15" i="7"/>
  <c r="L16" i="7"/>
  <c r="L13" i="7"/>
  <c r="Q16" i="7"/>
  <c r="B7" i="6"/>
  <c r="B6" i="6"/>
  <c r="C7" i="6"/>
  <c r="B5" i="6"/>
  <c r="D7" i="6"/>
  <c r="L17" i="6"/>
  <c r="Q16" i="6"/>
  <c r="L13" i="6"/>
  <c r="L14" i="6"/>
  <c r="Q13" i="6"/>
  <c r="L16" i="6"/>
  <c r="Q15" i="6"/>
  <c r="L15" i="6"/>
  <c r="Q14" i="6"/>
  <c r="L18" i="6"/>
  <c r="Q17" i="6"/>
  <c r="B5" i="5"/>
  <c r="B7" i="5"/>
  <c r="D7" i="5"/>
  <c r="B6" i="5"/>
  <c r="C7" i="5"/>
  <c r="L17" i="5"/>
  <c r="Q16" i="5"/>
  <c r="L13" i="5"/>
  <c r="L16" i="5"/>
  <c r="Q15" i="5"/>
  <c r="L15" i="5"/>
  <c r="Q14" i="5"/>
  <c r="L18" i="5"/>
  <c r="Q17" i="5"/>
  <c r="L14" i="5"/>
  <c r="Q13" i="5"/>
  <c r="B5" i="4"/>
  <c r="B7" i="4"/>
  <c r="D7" i="4"/>
  <c r="B6" i="4"/>
  <c r="C7" i="4"/>
  <c r="L13" i="4"/>
  <c r="Q16" i="4"/>
  <c r="L17" i="4"/>
  <c r="Q13" i="4"/>
  <c r="L14" i="4"/>
  <c r="Q17" i="4"/>
  <c r="L18" i="4"/>
  <c r="Q14" i="4"/>
  <c r="L15" i="4"/>
  <c r="Q15" i="4"/>
  <c r="L16" i="4"/>
  <c r="B5" i="3"/>
  <c r="B7" i="3"/>
  <c r="D7" i="3"/>
  <c r="B6" i="3"/>
  <c r="C7" i="3"/>
  <c r="L17" i="3"/>
  <c r="Q16" i="3"/>
  <c r="L13" i="3"/>
  <c r="L16" i="3"/>
  <c r="Q15" i="3"/>
  <c r="L15" i="3"/>
  <c r="Q14" i="3"/>
  <c r="L18" i="3"/>
  <c r="Q17" i="3"/>
  <c r="L14" i="3"/>
  <c r="Q13" i="3"/>
  <c r="D7" i="1"/>
  <c r="C7" i="1"/>
  <c r="B7" i="1"/>
  <c r="B6" i="1"/>
  <c r="B5" i="1"/>
  <c r="C15" i="13" a="1"/>
  <c r="H19" i="13" a="1"/>
  <c r="H15" i="13" a="1"/>
  <c r="H21" i="13" a="1"/>
  <c r="H18" i="13" a="1"/>
  <c r="H17" i="13" a="1"/>
  <c r="H13" i="13" a="1"/>
  <c r="H16" i="13" a="1"/>
  <c r="H20" i="13" a="1"/>
  <c r="C17" i="13" a="1"/>
  <c r="C13" i="13" a="1"/>
  <c r="C16" i="13" a="1"/>
  <c r="C18" i="13" a="1"/>
  <c r="C14" i="13" a="1"/>
  <c r="H14" i="13" a="1"/>
  <c r="C15" i="12" a="1"/>
  <c r="H19" i="12" a="1"/>
  <c r="H15" i="12" a="1"/>
  <c r="C18" i="12" a="1"/>
  <c r="C14" i="12" a="1"/>
  <c r="H21" i="12" a="1"/>
  <c r="H18" i="12" a="1"/>
  <c r="H14" i="12" a="1"/>
  <c r="H17" i="12" a="1"/>
  <c r="H13" i="12" a="1"/>
  <c r="H16" i="12" a="1"/>
  <c r="H20" i="12" a="1"/>
  <c r="C17" i="12" a="1"/>
  <c r="C13" i="12" a="1"/>
  <c r="C16" i="12" a="1"/>
  <c r="C16" i="11" a="1"/>
  <c r="C13" i="11" a="1"/>
  <c r="C17" i="11" a="1"/>
  <c r="H20" i="11" a="1"/>
  <c r="H16" i="11" a="1"/>
  <c r="H13" i="11" a="1"/>
  <c r="H17" i="11" a="1"/>
  <c r="H14" i="11" a="1"/>
  <c r="H18" i="11" a="1"/>
  <c r="H21" i="11" a="1"/>
  <c r="C14" i="11" a="1"/>
  <c r="C18" i="11" a="1"/>
  <c r="H15" i="11" a="1"/>
  <c r="H19" i="11" a="1"/>
  <c r="C15" i="11" a="1"/>
  <c r="C15" i="10" a="1"/>
  <c r="H19" i="10" a="1"/>
  <c r="H15" i="10" a="1"/>
  <c r="C18" i="10" a="1"/>
  <c r="C14" i="10" a="1"/>
  <c r="H21" i="10" a="1"/>
  <c r="H18" i="10" a="1"/>
  <c r="H14" i="10" a="1"/>
  <c r="H17" i="10" a="1"/>
  <c r="H13" i="10" a="1"/>
  <c r="H16" i="10" a="1"/>
  <c r="H20" i="10" a="1"/>
  <c r="C17" i="10" a="1"/>
  <c r="C13" i="10" a="1"/>
  <c r="C16" i="10" a="1"/>
  <c r="C15" i="9" a="1"/>
  <c r="C17" i="9" a="1"/>
  <c r="C13" i="9" a="1"/>
  <c r="H13" i="9" a="1"/>
  <c r="H17" i="9" a="1"/>
  <c r="H21" i="9" a="1"/>
  <c r="H19" i="9" a="1"/>
  <c r="C16" i="9" a="1"/>
  <c r="H20" i="9" a="1"/>
  <c r="H15" i="9" a="1"/>
  <c r="H16" i="9" a="1"/>
  <c r="H18" i="9" a="1"/>
  <c r="H14" i="9" a="1"/>
  <c r="C18" i="9" a="1"/>
  <c r="C14" i="9" a="1"/>
  <c r="C15" i="8" a="1"/>
  <c r="H19" i="8" a="1"/>
  <c r="H15" i="8" a="1"/>
  <c r="H13" i="8" a="1"/>
  <c r="C18" i="8" a="1"/>
  <c r="C14" i="8" a="1"/>
  <c r="H18" i="8" a="1"/>
  <c r="H14" i="8" a="1"/>
  <c r="H21" i="8" a="1"/>
  <c r="H17" i="8" a="1"/>
  <c r="C17" i="8" a="1"/>
  <c r="C13" i="8" a="1"/>
  <c r="H16" i="8" a="1"/>
  <c r="H20" i="8" a="1"/>
  <c r="C16" i="8" a="1"/>
  <c r="C13" i="7" a="1"/>
  <c r="C17" i="7" a="1"/>
  <c r="H20" i="7" a="1"/>
  <c r="H16" i="7" a="1"/>
  <c r="C16" i="7" a="1"/>
  <c r="H14" i="7" a="1"/>
  <c r="H18" i="7" a="1"/>
  <c r="H21" i="7" a="1"/>
  <c r="H13" i="7" a="1"/>
  <c r="H17" i="7" a="1"/>
  <c r="C14" i="7" a="1"/>
  <c r="C18" i="7" a="1"/>
  <c r="H15" i="7" a="1"/>
  <c r="H19" i="7" a="1"/>
  <c r="C15" i="7" a="1"/>
  <c r="C15" i="6" a="1"/>
  <c r="H17" i="6" a="1"/>
  <c r="H20" i="6" a="1"/>
  <c r="C17" i="6" a="1"/>
  <c r="H14" i="6" a="1"/>
  <c r="H13" i="6" a="1"/>
  <c r="H18" i="6" a="1"/>
  <c r="H19" i="6" a="1"/>
  <c r="H15" i="6" a="1"/>
  <c r="C16" i="6" a="1"/>
  <c r="C18" i="6" a="1"/>
  <c r="C14" i="6" a="1"/>
  <c r="H16" i="6" a="1"/>
  <c r="C13" i="6" a="1"/>
  <c r="H21" i="6" a="1"/>
  <c r="C15" i="5" a="1"/>
  <c r="H19" i="5" a="1"/>
  <c r="H15" i="5" a="1"/>
  <c r="C18" i="5" a="1"/>
  <c r="C14" i="5" a="1"/>
  <c r="H21" i="5" a="1"/>
  <c r="H18" i="5" a="1"/>
  <c r="H14" i="5" a="1"/>
  <c r="H17" i="5" a="1"/>
  <c r="H13" i="5" a="1"/>
  <c r="H16" i="5" a="1"/>
  <c r="H20" i="5" a="1"/>
  <c r="C17" i="5" a="1"/>
  <c r="C13" i="5" a="1"/>
  <c r="C16" i="5" a="1"/>
  <c r="C17" i="4" a="1"/>
  <c r="H21" i="4" a="1"/>
  <c r="C13" i="4" a="1"/>
  <c r="C16" i="4" a="1"/>
  <c r="H14" i="4" a="1"/>
  <c r="C14" i="4" a="1"/>
  <c r="C18" i="4" a="1"/>
  <c r="C15" i="4" a="1"/>
  <c r="H13" i="4" a="1"/>
  <c r="H17" i="4" a="1"/>
  <c r="H15" i="4" a="1"/>
  <c r="H19" i="4" a="1"/>
  <c r="H16" i="4" a="1"/>
  <c r="H20" i="4" a="1"/>
  <c r="H18" i="4" a="1"/>
  <c r="C15" i="3" a="1"/>
  <c r="H19" i="3" a="1"/>
  <c r="H15" i="3" a="1"/>
  <c r="C18" i="3" a="1"/>
  <c r="C14" i="3" a="1"/>
  <c r="H21" i="3" a="1"/>
  <c r="H18" i="3" a="1"/>
  <c r="H14" i="3" a="1"/>
  <c r="H17" i="3" a="1"/>
  <c r="H13" i="3" a="1"/>
  <c r="H16" i="3" a="1"/>
  <c r="H20" i="3" a="1"/>
  <c r="C17" i="3" a="1"/>
  <c r="C13" i="3" a="1"/>
  <c r="C16" i="3" a="1"/>
  <c r="H14" i="13" l="1"/>
  <c r="I14" i="13" s="1"/>
  <c r="C14" i="13"/>
  <c r="D14" i="13" s="1"/>
  <c r="C18" i="13"/>
  <c r="D18" i="13" s="1"/>
  <c r="C16" i="13"/>
  <c r="D16" i="13" s="1"/>
  <c r="C13" i="13"/>
  <c r="C17" i="13"/>
  <c r="D17" i="13" s="1"/>
  <c r="H20" i="13"/>
  <c r="I20" i="13" s="1"/>
  <c r="H16" i="13"/>
  <c r="I16" i="13" s="1"/>
  <c r="H13" i="13"/>
  <c r="H17" i="13"/>
  <c r="I17" i="13" s="1"/>
  <c r="H18" i="13"/>
  <c r="I18" i="13" s="1"/>
  <c r="H21" i="13"/>
  <c r="I21" i="13" s="1"/>
  <c r="H15" i="13"/>
  <c r="I15" i="13" s="1"/>
  <c r="H19" i="13"/>
  <c r="I19" i="13" s="1"/>
  <c r="C15" i="13"/>
  <c r="D15" i="13" s="1"/>
  <c r="B9" i="13"/>
  <c r="C16" i="12"/>
  <c r="D16" i="12" s="1"/>
  <c r="C13" i="12"/>
  <c r="C17" i="12"/>
  <c r="D17" i="12" s="1"/>
  <c r="H20" i="12"/>
  <c r="I20" i="12" s="1"/>
  <c r="H16" i="12"/>
  <c r="I16" i="12" s="1"/>
  <c r="H13" i="12"/>
  <c r="H17" i="12"/>
  <c r="I17" i="12" s="1"/>
  <c r="H14" i="12"/>
  <c r="I14" i="12" s="1"/>
  <c r="H18" i="12"/>
  <c r="I18" i="12" s="1"/>
  <c r="H21" i="12"/>
  <c r="I21" i="12" s="1"/>
  <c r="C14" i="12"/>
  <c r="D14" i="12" s="1"/>
  <c r="C18" i="12"/>
  <c r="D18" i="12" s="1"/>
  <c r="H15" i="12"/>
  <c r="I15" i="12" s="1"/>
  <c r="H19" i="12"/>
  <c r="I19" i="12" s="1"/>
  <c r="C15" i="12"/>
  <c r="D15" i="12" s="1"/>
  <c r="B9" i="12"/>
  <c r="C15" i="11"/>
  <c r="D15" i="11" s="1"/>
  <c r="H19" i="11"/>
  <c r="I19" i="11" s="1"/>
  <c r="H15" i="11"/>
  <c r="I15" i="11" s="1"/>
  <c r="C18" i="11"/>
  <c r="D18" i="11" s="1"/>
  <c r="C14" i="11"/>
  <c r="D14" i="11" s="1"/>
  <c r="H21" i="11"/>
  <c r="I21" i="11" s="1"/>
  <c r="H18" i="11"/>
  <c r="I18" i="11" s="1"/>
  <c r="H14" i="11"/>
  <c r="I14" i="11" s="1"/>
  <c r="H17" i="11"/>
  <c r="I17" i="11" s="1"/>
  <c r="H13" i="11"/>
  <c r="H16" i="11"/>
  <c r="I16" i="11" s="1"/>
  <c r="H20" i="11"/>
  <c r="I20" i="11" s="1"/>
  <c r="C17" i="11"/>
  <c r="D17" i="11" s="1"/>
  <c r="C13" i="11"/>
  <c r="C16" i="11"/>
  <c r="D16" i="11" s="1"/>
  <c r="B9" i="11"/>
  <c r="C16" i="10"/>
  <c r="D16" i="10" s="1"/>
  <c r="C13" i="10"/>
  <c r="C17" i="10"/>
  <c r="D17" i="10" s="1"/>
  <c r="H20" i="10"/>
  <c r="I20" i="10" s="1"/>
  <c r="H16" i="10"/>
  <c r="I16" i="10" s="1"/>
  <c r="H13" i="10"/>
  <c r="H17" i="10"/>
  <c r="I17" i="10" s="1"/>
  <c r="H14" i="10"/>
  <c r="I14" i="10" s="1"/>
  <c r="H18" i="10"/>
  <c r="I18" i="10" s="1"/>
  <c r="H21" i="10"/>
  <c r="I21" i="10" s="1"/>
  <c r="C14" i="10"/>
  <c r="D14" i="10" s="1"/>
  <c r="C18" i="10"/>
  <c r="D18" i="10" s="1"/>
  <c r="H15" i="10"/>
  <c r="I15" i="10" s="1"/>
  <c r="H19" i="10"/>
  <c r="I19" i="10" s="1"/>
  <c r="C15" i="10"/>
  <c r="D15" i="10" s="1"/>
  <c r="B9" i="10"/>
  <c r="C14" i="9"/>
  <c r="D14" i="9" s="1"/>
  <c r="C18" i="9"/>
  <c r="D18" i="9" s="1"/>
  <c r="H14" i="9"/>
  <c r="I14" i="9" s="1"/>
  <c r="H18" i="9"/>
  <c r="I18" i="9" s="1"/>
  <c r="H16" i="9"/>
  <c r="I16" i="9" s="1"/>
  <c r="H15" i="9"/>
  <c r="I15" i="9" s="1"/>
  <c r="H20" i="9"/>
  <c r="I20" i="9" s="1"/>
  <c r="C16" i="9"/>
  <c r="D16" i="9" s="1"/>
  <c r="H19" i="9"/>
  <c r="I19" i="9" s="1"/>
  <c r="H21" i="9"/>
  <c r="I21" i="9" s="1"/>
  <c r="H17" i="9"/>
  <c r="I17" i="9" s="1"/>
  <c r="H13" i="9"/>
  <c r="C13" i="9"/>
  <c r="C17" i="9"/>
  <c r="D17" i="9" s="1"/>
  <c r="C15" i="9"/>
  <c r="D15" i="9" s="1"/>
  <c r="B9" i="9"/>
  <c r="C16" i="8"/>
  <c r="D16" i="8" s="1"/>
  <c r="H20" i="8"/>
  <c r="I20" i="8" s="1"/>
  <c r="H16" i="8"/>
  <c r="I16" i="8" s="1"/>
  <c r="C13" i="8"/>
  <c r="C17" i="8"/>
  <c r="D17" i="8" s="1"/>
  <c r="H17" i="8"/>
  <c r="I17" i="8" s="1"/>
  <c r="H21" i="8"/>
  <c r="I21" i="8" s="1"/>
  <c r="H14" i="8"/>
  <c r="I14" i="8" s="1"/>
  <c r="H18" i="8"/>
  <c r="I18" i="8" s="1"/>
  <c r="C14" i="8"/>
  <c r="D14" i="8" s="1"/>
  <c r="C18" i="8"/>
  <c r="D18" i="8" s="1"/>
  <c r="H13" i="8"/>
  <c r="H15" i="8"/>
  <c r="I15" i="8" s="1"/>
  <c r="H19" i="8"/>
  <c r="I19" i="8" s="1"/>
  <c r="C15" i="8"/>
  <c r="D15" i="8" s="1"/>
  <c r="B9" i="8"/>
  <c r="C13" i="7"/>
  <c r="D13" i="7" s="1"/>
  <c r="C15" i="7"/>
  <c r="D15" i="7" s="1"/>
  <c r="H19" i="7"/>
  <c r="I19" i="7" s="1"/>
  <c r="H15" i="7"/>
  <c r="I15" i="7" s="1"/>
  <c r="C18" i="7"/>
  <c r="D18" i="7" s="1"/>
  <c r="C14" i="7"/>
  <c r="D14" i="7" s="1"/>
  <c r="H17" i="7"/>
  <c r="I17" i="7" s="1"/>
  <c r="H13" i="7"/>
  <c r="H21" i="7"/>
  <c r="I21" i="7" s="1"/>
  <c r="H18" i="7"/>
  <c r="I18" i="7" s="1"/>
  <c r="H14" i="7"/>
  <c r="I14" i="7" s="1"/>
  <c r="C16" i="7"/>
  <c r="D16" i="7" s="1"/>
  <c r="H16" i="7"/>
  <c r="I16" i="7" s="1"/>
  <c r="H20" i="7"/>
  <c r="I20" i="7" s="1"/>
  <c r="C17" i="7"/>
  <c r="D17" i="7" s="1"/>
  <c r="B9" i="7"/>
  <c r="B9" i="6"/>
  <c r="H21" i="6"/>
  <c r="I21" i="6" s="1"/>
  <c r="C13" i="6"/>
  <c r="H16" i="6"/>
  <c r="I16" i="6" s="1"/>
  <c r="C14" i="6"/>
  <c r="D14" i="6" s="1"/>
  <c r="C18" i="6"/>
  <c r="D18" i="6" s="1"/>
  <c r="C16" i="6"/>
  <c r="D16" i="6" s="1"/>
  <c r="H15" i="6"/>
  <c r="I15" i="6" s="1"/>
  <c r="H19" i="6"/>
  <c r="I19" i="6" s="1"/>
  <c r="H18" i="6"/>
  <c r="I18" i="6" s="1"/>
  <c r="H13" i="6"/>
  <c r="H14" i="6"/>
  <c r="I14" i="6" s="1"/>
  <c r="C17" i="6"/>
  <c r="D17" i="6" s="1"/>
  <c r="H20" i="6"/>
  <c r="I20" i="6" s="1"/>
  <c r="H17" i="6"/>
  <c r="I17" i="6" s="1"/>
  <c r="C15" i="6"/>
  <c r="D15" i="6" s="1"/>
  <c r="C16" i="5"/>
  <c r="D16" i="5" s="1"/>
  <c r="C13" i="5"/>
  <c r="C17" i="5"/>
  <c r="D17" i="5" s="1"/>
  <c r="H20" i="5"/>
  <c r="I20" i="5" s="1"/>
  <c r="H16" i="5"/>
  <c r="I16" i="5" s="1"/>
  <c r="H13" i="5"/>
  <c r="H17" i="5"/>
  <c r="I17" i="5" s="1"/>
  <c r="H14" i="5"/>
  <c r="I14" i="5" s="1"/>
  <c r="H18" i="5"/>
  <c r="I18" i="5" s="1"/>
  <c r="H21" i="5"/>
  <c r="I21" i="5" s="1"/>
  <c r="C14" i="5"/>
  <c r="D14" i="5" s="1"/>
  <c r="C18" i="5"/>
  <c r="D18" i="5" s="1"/>
  <c r="H15" i="5"/>
  <c r="I15" i="5" s="1"/>
  <c r="H19" i="5"/>
  <c r="I19" i="5" s="1"/>
  <c r="C15" i="5"/>
  <c r="D15" i="5" s="1"/>
  <c r="B9" i="5"/>
  <c r="C13" i="4"/>
  <c r="D13" i="4" s="1"/>
  <c r="H21" i="4"/>
  <c r="I21" i="4" s="1"/>
  <c r="C17" i="4"/>
  <c r="D17" i="4" s="1"/>
  <c r="B9" i="4"/>
  <c r="H18" i="4"/>
  <c r="I18" i="4" s="1"/>
  <c r="H20" i="4"/>
  <c r="I20" i="4" s="1"/>
  <c r="H16" i="4"/>
  <c r="I16" i="4" s="1"/>
  <c r="H19" i="4"/>
  <c r="I19" i="4" s="1"/>
  <c r="H15" i="4"/>
  <c r="I15" i="4" s="1"/>
  <c r="H17" i="4"/>
  <c r="I17" i="4" s="1"/>
  <c r="H13" i="4"/>
  <c r="C15" i="4"/>
  <c r="D15" i="4" s="1"/>
  <c r="C18" i="4"/>
  <c r="D18" i="4" s="1"/>
  <c r="C14" i="4"/>
  <c r="D14" i="4" s="1"/>
  <c r="H14" i="4"/>
  <c r="I14" i="4" s="1"/>
  <c r="C16" i="4"/>
  <c r="D16" i="4" s="1"/>
  <c r="C16" i="3"/>
  <c r="D16" i="3" s="1"/>
  <c r="C13" i="3"/>
  <c r="C17" i="3"/>
  <c r="D17" i="3" s="1"/>
  <c r="H20" i="3"/>
  <c r="I20" i="3" s="1"/>
  <c r="H16" i="3"/>
  <c r="I16" i="3" s="1"/>
  <c r="H13" i="3"/>
  <c r="H17" i="3"/>
  <c r="I17" i="3" s="1"/>
  <c r="H14" i="3"/>
  <c r="I14" i="3" s="1"/>
  <c r="H18" i="3"/>
  <c r="I18" i="3" s="1"/>
  <c r="H21" i="3"/>
  <c r="I21" i="3" s="1"/>
  <c r="C14" i="3"/>
  <c r="D14" i="3" s="1"/>
  <c r="C18" i="3"/>
  <c r="D18" i="3" s="1"/>
  <c r="H15" i="3"/>
  <c r="I15" i="3" s="1"/>
  <c r="H19" i="3"/>
  <c r="I19" i="3" s="1"/>
  <c r="C15" i="3"/>
  <c r="D15" i="3" s="1"/>
  <c r="B9" i="3"/>
  <c r="H27" i="13" l="1"/>
  <c r="I13" i="13"/>
  <c r="I27" i="13" s="1"/>
  <c r="D13" i="13"/>
  <c r="D27" i="13" s="1"/>
  <c r="C27" i="13"/>
  <c r="H27" i="12"/>
  <c r="I13" i="12"/>
  <c r="I27" i="12" s="1"/>
  <c r="D13" i="12"/>
  <c r="D27" i="12" s="1"/>
  <c r="C27" i="12"/>
  <c r="D13" i="11"/>
  <c r="D27" i="11" s="1"/>
  <c r="C27" i="11"/>
  <c r="H27" i="11"/>
  <c r="I13" i="11"/>
  <c r="I27" i="11" s="1"/>
  <c r="H27" i="10"/>
  <c r="I13" i="10"/>
  <c r="I27" i="10" s="1"/>
  <c r="D13" i="10"/>
  <c r="D27" i="10" s="1"/>
  <c r="C27" i="10"/>
  <c r="H27" i="9"/>
  <c r="I13" i="9"/>
  <c r="I27" i="9" s="1"/>
  <c r="D13" i="9"/>
  <c r="D27" i="9" s="1"/>
  <c r="C27" i="9"/>
  <c r="H27" i="8"/>
  <c r="I13" i="8"/>
  <c r="I27" i="8" s="1"/>
  <c r="D13" i="8"/>
  <c r="D27" i="8" s="1"/>
  <c r="C27" i="8"/>
  <c r="C27" i="7"/>
  <c r="D27" i="7"/>
  <c r="H27" i="7"/>
  <c r="I13" i="7"/>
  <c r="I27" i="7" s="1"/>
  <c r="H27" i="6"/>
  <c r="I13" i="6"/>
  <c r="I27" i="6" s="1"/>
  <c r="D13" i="6"/>
  <c r="D27" i="6" s="1"/>
  <c r="C27" i="6"/>
  <c r="H27" i="5"/>
  <c r="I13" i="5"/>
  <c r="I27" i="5" s="1"/>
  <c r="D13" i="5"/>
  <c r="D27" i="5" s="1"/>
  <c r="C27" i="5"/>
  <c r="C27" i="4"/>
  <c r="D27" i="4"/>
  <c r="I13" i="4"/>
  <c r="I27" i="4" s="1"/>
  <c r="H27" i="4"/>
  <c r="H27" i="3"/>
  <c r="I13" i="3"/>
  <c r="I27" i="3" s="1"/>
  <c r="D13" i="3"/>
  <c r="D27" i="3" s="1"/>
  <c r="C27" i="3"/>
  <c r="X27" i="1" l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W27" i="1"/>
  <c r="V27" i="1"/>
  <c r="R27" i="1"/>
  <c r="S27" i="1"/>
  <c r="M27" i="1"/>
  <c r="N27" i="1"/>
  <c r="G27" i="1"/>
  <c r="B27" i="1"/>
  <c r="A2" i="1" l="1" a="1"/>
  <c r="A2" i="1" s="1"/>
  <c r="Q17" i="1" s="1"/>
  <c r="Q16" i="1" l="1"/>
  <c r="Q15" i="1"/>
  <c r="Q14" i="1"/>
  <c r="Q13" i="1"/>
  <c r="L18" i="1"/>
  <c r="L14" i="1"/>
  <c r="L17" i="1"/>
  <c r="L13" i="1"/>
  <c r="L15" i="1"/>
  <c r="L16" i="1"/>
  <c r="C17" i="1" a="1"/>
  <c r="C18" i="1" a="1"/>
  <c r="H16" i="1" a="1"/>
  <c r="C13" i="1" a="1"/>
  <c r="C16" i="1" a="1"/>
  <c r="H14" i="1" a="1"/>
  <c r="H18" i="1" a="1"/>
  <c r="C15" i="1" a="1"/>
  <c r="H13" i="1" a="1"/>
  <c r="H20" i="1" a="1"/>
  <c r="H19" i="1" a="1"/>
  <c r="C14" i="1" a="1"/>
  <c r="H17" i="1" a="1"/>
  <c r="H21" i="1" a="1"/>
  <c r="H15" i="1" a="1"/>
  <c r="C13" i="1" l="1"/>
  <c r="H13" i="1"/>
  <c r="H21" i="1"/>
  <c r="I21" i="1" s="1"/>
  <c r="H17" i="1"/>
  <c r="I17" i="1" s="1"/>
  <c r="H18" i="1"/>
  <c r="I18" i="1" s="1"/>
  <c r="H16" i="1"/>
  <c r="I16" i="1" s="1"/>
  <c r="H20" i="1"/>
  <c r="I20" i="1" s="1"/>
  <c r="H15" i="1"/>
  <c r="I15" i="1" s="1"/>
  <c r="H19" i="1"/>
  <c r="I19" i="1" s="1"/>
  <c r="H14" i="1"/>
  <c r="I14" i="1" s="1"/>
  <c r="C15" i="1"/>
  <c r="D15" i="1" s="1"/>
  <c r="C18" i="1"/>
  <c r="D18" i="1" s="1"/>
  <c r="C16" i="1"/>
  <c r="D16" i="1" s="1"/>
  <c r="C17" i="1"/>
  <c r="D17" i="1" s="1"/>
  <c r="C14" i="1"/>
  <c r="D14" i="1" s="1"/>
  <c r="C27" i="1" l="1"/>
  <c r="I13" i="1"/>
  <c r="I27" i="1" s="1"/>
  <c r="H27" i="1"/>
  <c r="D13" i="1"/>
  <c r="D27" i="1" s="1"/>
  <c r="B9" i="1"/>
  <c r="C5" i="13" a="1"/>
  <c r="C6" i="13" a="1"/>
  <c r="D5" i="13" a="1"/>
  <c r="D6" i="13" a="1"/>
  <c r="C5" i="12" a="1"/>
  <c r="D6" i="12" a="1"/>
  <c r="C6" i="12" a="1"/>
  <c r="D5" i="12" a="1"/>
  <c r="C5" i="11" a="1"/>
  <c r="D6" i="11" a="1"/>
  <c r="C6" i="11" a="1"/>
  <c r="D5" i="11" a="1"/>
  <c r="C5" i="10" a="1"/>
  <c r="D6" i="10" a="1"/>
  <c r="C6" i="10" a="1"/>
  <c r="D5" i="10" a="1"/>
  <c r="C5" i="9" a="1"/>
  <c r="D6" i="9" a="1"/>
  <c r="C6" i="9" a="1"/>
  <c r="D5" i="9" a="1"/>
  <c r="C5" i="8" a="1"/>
  <c r="C6" i="8" a="1"/>
  <c r="D5" i="8" a="1"/>
  <c r="D6" i="8" a="1"/>
  <c r="C5" i="7" a="1"/>
  <c r="D6" i="7" a="1"/>
  <c r="C6" i="7" a="1"/>
  <c r="D5" i="7" a="1"/>
  <c r="C5" i="6" a="1"/>
  <c r="D5" i="6" a="1"/>
  <c r="D6" i="6" a="1"/>
  <c r="C6" i="6" a="1"/>
  <c r="C5" i="5" a="1"/>
  <c r="D6" i="5" a="1"/>
  <c r="C6" i="5" a="1"/>
  <c r="D5" i="5" a="1"/>
  <c r="C5" i="4" a="1"/>
  <c r="D6" i="4" a="1"/>
  <c r="C6" i="4" a="1"/>
  <c r="D5" i="4" a="1"/>
  <c r="C5" i="3" a="1"/>
  <c r="D6" i="3" a="1"/>
  <c r="C6" i="3" a="1"/>
  <c r="D5" i="3" a="1"/>
  <c r="D6" i="1" a="1"/>
  <c r="C6" i="1" a="1"/>
  <c r="C5" i="1" a="1"/>
  <c r="D5" i="1" a="1"/>
  <c r="D6" i="13" l="1"/>
  <c r="D5" i="13"/>
  <c r="C6" i="13"/>
  <c r="C5" i="13"/>
  <c r="D5" i="12"/>
  <c r="C6" i="12"/>
  <c r="D6" i="12"/>
  <c r="C5" i="12"/>
  <c r="D5" i="11"/>
  <c r="C6" i="11"/>
  <c r="D6" i="11"/>
  <c r="C5" i="11"/>
  <c r="D5" i="10"/>
  <c r="C6" i="10"/>
  <c r="D6" i="10"/>
  <c r="C5" i="10"/>
  <c r="C9" i="10" s="1"/>
  <c r="D5" i="9"/>
  <c r="C6" i="9"/>
  <c r="D6" i="9"/>
  <c r="C5" i="9"/>
  <c r="D6" i="8"/>
  <c r="D5" i="8"/>
  <c r="C6" i="8"/>
  <c r="C5" i="8"/>
  <c r="D5" i="7"/>
  <c r="C6" i="7"/>
  <c r="D6" i="7"/>
  <c r="C5" i="7"/>
  <c r="C6" i="6"/>
  <c r="D6" i="6"/>
  <c r="D5" i="6"/>
  <c r="C5" i="6"/>
  <c r="D5" i="5"/>
  <c r="C6" i="5"/>
  <c r="D6" i="5"/>
  <c r="C5" i="5"/>
  <c r="D5" i="4"/>
  <c r="C6" i="4"/>
  <c r="D6" i="4"/>
  <c r="C5" i="4"/>
  <c r="D5" i="3"/>
  <c r="C6" i="3"/>
  <c r="D6" i="3"/>
  <c r="C5" i="3"/>
  <c r="D6" i="1"/>
  <c r="C6" i="1"/>
  <c r="D5" i="1"/>
  <c r="C5" i="1"/>
  <c r="C9" i="11" l="1"/>
  <c r="D9" i="13"/>
  <c r="C9" i="12"/>
  <c r="C9" i="13"/>
  <c r="D9" i="12"/>
  <c r="C9" i="9"/>
  <c r="D9" i="11"/>
  <c r="D9" i="10"/>
  <c r="D9" i="9"/>
  <c r="C9" i="8"/>
  <c r="D9" i="8"/>
  <c r="C9" i="5"/>
  <c r="C9" i="7"/>
  <c r="C9" i="6"/>
  <c r="D9" i="7"/>
  <c r="D9" i="6"/>
  <c r="D9" i="5"/>
  <c r="C9" i="4"/>
  <c r="D9" i="4"/>
  <c r="D9" i="1"/>
  <c r="C9" i="3"/>
  <c r="D9" i="3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<sst xmlns="http://schemas.openxmlformats.org/spreadsheetml/2006/main" count="804" uniqueCount="47">
  <si>
    <t>Incomes</t>
  </si>
  <si>
    <t>Expenses</t>
  </si>
  <si>
    <t>Bills</t>
  </si>
  <si>
    <t>Subscriptions</t>
  </si>
  <si>
    <t>Savings</t>
  </si>
  <si>
    <t>Source</t>
  </si>
  <si>
    <t>Planned</t>
  </si>
  <si>
    <t>Actual</t>
  </si>
  <si>
    <t>Category</t>
  </si>
  <si>
    <t>Bill</t>
  </si>
  <si>
    <t>Service</t>
  </si>
  <si>
    <t>Aim</t>
  </si>
  <si>
    <t>Allowance</t>
  </si>
  <si>
    <t>Rent</t>
  </si>
  <si>
    <t>Netflix</t>
  </si>
  <si>
    <t>Scholarship</t>
  </si>
  <si>
    <t>Groceries</t>
  </si>
  <si>
    <t>Electricity</t>
  </si>
  <si>
    <t>Spotify</t>
  </si>
  <si>
    <t>Gas</t>
  </si>
  <si>
    <t>Water</t>
  </si>
  <si>
    <t>ChatGPT</t>
  </si>
  <si>
    <t>Waste</t>
  </si>
  <si>
    <t>Entertainment</t>
  </si>
  <si>
    <t>Internet</t>
  </si>
  <si>
    <t>Month</t>
  </si>
  <si>
    <t>Left</t>
  </si>
  <si>
    <t>Balance</t>
  </si>
  <si>
    <t>Financial</t>
  </si>
  <si>
    <t>Gift</t>
  </si>
  <si>
    <t>Salary</t>
  </si>
  <si>
    <t>Clothing</t>
  </si>
  <si>
    <t>Health&amp;Beauty</t>
  </si>
  <si>
    <t>Multimedia</t>
  </si>
  <si>
    <t>Studies</t>
  </si>
  <si>
    <t>Transportation</t>
  </si>
  <si>
    <t>Bookbeat</t>
  </si>
  <si>
    <t>Duolingo</t>
  </si>
  <si>
    <t>Laptop</t>
  </si>
  <si>
    <t>Summer holidays</t>
  </si>
  <si>
    <t>Other incoms</t>
  </si>
  <si>
    <t>Accomodation</t>
  </si>
  <si>
    <t>Other expences</t>
  </si>
  <si>
    <t>Rainy day</t>
  </si>
  <si>
    <t>Due</t>
  </si>
  <si>
    <t>Total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</si>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</sst>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&quot;zł&quot;_-;\-* #,##0.00\ &quot;zł&quot;_-;_-* &quot;-&quot;??\ &quot;zł&quot;_-;_-@_-"/>
    <numFmt numFmtId="165" formatCode="_-* #,##0.00\ [$zł-415]_-;\-* #,##0.00\ [$zł-415]_-;_-* &quot;-&quot;??\ [$zł-415]_-;_-@_-"/>
  </numFmts>
  <fonts count="7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4"/>
      <color theme="1"/>
      <name val="Comic Sans MS"/>
      <family val="4"/>
      <charset val="238"/>
    </font>
    <font>
      <sz val="14"/>
      <color theme="7" tint="0.79998168889431442"/>
      <name val="Comic Sans MS"/>
      <family val="4"/>
      <charset val="238"/>
    </font>
    <font>
      <sz val="14"/>
      <color theme="0"/>
      <name val="Comic Sans MS"/>
      <family val="4"/>
      <charset val="238"/>
    </font>
    <font>
      <sz val="14"/>
      <color rgb="FFFF0000"/>
      <name val="Comic Sans MS"/>
      <family val="4"/>
      <charset val="238"/>
    </font>
    <font>
      <b/>
      <sz val="14"/>
      <color theme="0"/>
      <name val="Comic Sans MS"/>
      <family val="4"/>
      <charset val="238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7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165" fontId="2" fillId="3" borderId="1" xfId="1" applyNumberFormat="1" applyFont="1" applyFill="1" applyBorder="1"/>
    <xf numFmtId="0" fontId="2" fillId="4" borderId="1" xfId="0" applyFont="1" applyFill="1" applyBorder="1"/>
    <xf numFmtId="165" fontId="2" fillId="4" borderId="1" xfId="0" applyNumberFormat="1" applyFont="1" applyFill="1" applyBorder="1"/>
    <xf numFmtId="0" fontId="3" fillId="0" borderId="0" xfId="0" applyFont="1"/>
    <xf numFmtId="165" fontId="2" fillId="11" borderId="1" xfId="0" applyNumberFormat="1" applyFont="1" applyFill="1" applyBorder="1"/>
    <xf numFmtId="165" fontId="2" fillId="2" borderId="1" xfId="1" applyNumberFormat="1" applyFont="1" applyFill="1" applyBorder="1"/>
    <xf numFmtId="165" fontId="2" fillId="12" borderId="1" xfId="0" applyNumberFormat="1" applyFont="1" applyFill="1" applyBorder="1"/>
    <xf numFmtId="165" fontId="4" fillId="14" borderId="1" xfId="0" applyNumberFormat="1" applyFont="1" applyFill="1" applyBorder="1"/>
    <xf numFmtId="0" fontId="2" fillId="16" borderId="1" xfId="0" applyFont="1" applyFill="1" applyBorder="1"/>
    <xf numFmtId="0" fontId="4" fillId="0" borderId="0" xfId="0" applyFont="1"/>
    <xf numFmtId="0" fontId="2" fillId="0" borderId="2" xfId="0" applyFont="1" applyBorder="1"/>
    <xf numFmtId="14" fontId="5" fillId="2" borderId="1" xfId="0" applyNumberFormat="1" applyFont="1" applyFill="1" applyBorder="1"/>
    <xf numFmtId="14" fontId="5" fillId="4" borderId="1" xfId="0" applyNumberFormat="1" applyFont="1" applyFill="1" applyBorder="1"/>
    <xf numFmtId="0" fontId="2" fillId="11" borderId="5" xfId="0" applyFont="1" applyFill="1" applyBorder="1"/>
    <xf numFmtId="165" fontId="2" fillId="11" borderId="3" xfId="0" applyNumberFormat="1" applyFont="1" applyFill="1" applyBorder="1"/>
    <xf numFmtId="0" fontId="2" fillId="11" borderId="9" xfId="0" applyFont="1" applyFill="1" applyBorder="1"/>
    <xf numFmtId="165" fontId="2" fillId="11" borderId="10" xfId="0" applyNumberFormat="1" applyFont="1" applyFill="1" applyBorder="1"/>
    <xf numFmtId="165" fontId="2" fillId="11" borderId="11" xfId="0" applyNumberFormat="1" applyFont="1" applyFill="1" applyBorder="1"/>
    <xf numFmtId="0" fontId="2" fillId="3" borderId="5" xfId="0" applyFont="1" applyFill="1" applyBorder="1"/>
    <xf numFmtId="165" fontId="2" fillId="3" borderId="3" xfId="1" applyNumberFormat="1" applyFont="1" applyFill="1" applyBorder="1"/>
    <xf numFmtId="0" fontId="2" fillId="9" borderId="6" xfId="0" applyFont="1" applyFill="1" applyBorder="1"/>
    <xf numFmtId="0" fontId="2" fillId="9" borderId="7" xfId="0" applyFont="1" applyFill="1" applyBorder="1"/>
    <xf numFmtId="0" fontId="2" fillId="9" borderId="8" xfId="0" applyFont="1" applyFill="1" applyBorder="1"/>
    <xf numFmtId="0" fontId="2" fillId="3" borderId="9" xfId="0" applyFont="1" applyFill="1" applyBorder="1"/>
    <xf numFmtId="165" fontId="2" fillId="3" borderId="10" xfId="1" applyNumberFormat="1" applyFont="1" applyFill="1" applyBorder="1"/>
    <xf numFmtId="165" fontId="2" fillId="3" borderId="11" xfId="1" applyNumberFormat="1" applyFont="1" applyFill="1" applyBorder="1"/>
    <xf numFmtId="0" fontId="2" fillId="2" borderId="5" xfId="0" applyFont="1" applyFill="1" applyBorder="1"/>
    <xf numFmtId="165" fontId="2" fillId="2" borderId="3" xfId="1" applyNumberFormat="1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2" fillId="8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165" fontId="2" fillId="2" borderId="10" xfId="1" applyNumberFormat="1" applyFont="1" applyFill="1" applyBorder="1"/>
    <xf numFmtId="165" fontId="2" fillId="2" borderId="11" xfId="1" applyNumberFormat="1" applyFont="1" applyFill="1" applyBorder="1"/>
    <xf numFmtId="0" fontId="2" fillId="4" borderId="5" xfId="0" applyFont="1" applyFill="1" applyBorder="1"/>
    <xf numFmtId="165" fontId="2" fillId="4" borderId="3" xfId="0" applyNumberFormat="1" applyFont="1" applyFill="1" applyBorder="1"/>
    <xf numFmtId="0" fontId="2" fillId="10" borderId="6" xfId="0" applyFont="1" applyFill="1" applyBorder="1"/>
    <xf numFmtId="0" fontId="2" fillId="10" borderId="7" xfId="0" applyFont="1" applyFill="1" applyBorder="1"/>
    <xf numFmtId="0" fontId="2" fillId="10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165" fontId="2" fillId="4" borderId="10" xfId="0" applyNumberFormat="1" applyFont="1" applyFill="1" applyBorder="1"/>
    <xf numFmtId="165" fontId="2" fillId="4" borderId="11" xfId="0" applyNumberFormat="1" applyFont="1" applyFill="1" applyBorder="1"/>
    <xf numFmtId="0" fontId="2" fillId="12" borderId="5" xfId="0" applyFont="1" applyFill="1" applyBorder="1"/>
    <xf numFmtId="165" fontId="2" fillId="12" borderId="3" xfId="0" applyNumberFormat="1" applyFont="1" applyFill="1" applyBorder="1"/>
    <xf numFmtId="0" fontId="2" fillId="16" borderId="6" xfId="0" applyFont="1" applyFill="1" applyBorder="1"/>
    <xf numFmtId="0" fontId="2" fillId="16" borderId="7" xfId="0" applyFont="1" applyFill="1" applyBorder="1"/>
    <xf numFmtId="0" fontId="2" fillId="16" borderId="8" xfId="0" applyFont="1" applyFill="1" applyBorder="1"/>
    <xf numFmtId="0" fontId="2" fillId="12" borderId="9" xfId="0" applyFont="1" applyFill="1" applyBorder="1"/>
    <xf numFmtId="165" fontId="2" fillId="12" borderId="10" xfId="0" applyNumberFormat="1" applyFont="1" applyFill="1" applyBorder="1"/>
    <xf numFmtId="165" fontId="2" fillId="12" borderId="11" xfId="0" applyNumberFormat="1" applyFont="1" applyFill="1" applyBorder="1"/>
    <xf numFmtId="0" fontId="6" fillId="15" borderId="6" xfId="0" applyFont="1" applyFill="1" applyBorder="1"/>
    <xf numFmtId="0" fontId="6" fillId="15" borderId="7" xfId="0" applyFont="1" applyFill="1" applyBorder="1"/>
    <xf numFmtId="0" fontId="6" fillId="15" borderId="8" xfId="0" applyFont="1" applyFill="1" applyBorder="1"/>
    <xf numFmtId="0" fontId="4" fillId="6" borderId="9" xfId="0" applyFont="1" applyFill="1" applyBorder="1"/>
    <xf numFmtId="165" fontId="4" fillId="6" borderId="10" xfId="0" applyNumberFormat="1" applyFont="1" applyFill="1" applyBorder="1"/>
    <xf numFmtId="165" fontId="4" fillId="6" borderId="11" xfId="0" applyNumberFormat="1" applyFont="1" applyFill="1" applyBorder="1"/>
    <xf numFmtId="0" fontId="6" fillId="13" borderId="9" xfId="0" applyFont="1" applyFill="1" applyBorder="1"/>
    <xf numFmtId="165" fontId="6" fillId="13" borderId="10" xfId="0" applyNumberFormat="1" applyFont="1" applyFill="1" applyBorder="1"/>
    <xf numFmtId="165" fontId="6" fillId="13" borderId="11" xfId="0" applyNumberFormat="1" applyFont="1" applyFill="1" applyBorder="1"/>
    <xf numFmtId="0" fontId="4" fillId="5" borderId="9" xfId="0" applyFont="1" applyFill="1" applyBorder="1"/>
    <xf numFmtId="0" fontId="4" fillId="5" borderId="10" xfId="0" applyFont="1" applyFill="1" applyBorder="1"/>
    <xf numFmtId="165" fontId="4" fillId="5" borderId="10" xfId="0" applyNumberFormat="1" applyFont="1" applyFill="1" applyBorder="1"/>
    <xf numFmtId="0" fontId="4" fillId="5" borderId="11" xfId="0" applyNumberFormat="1" applyFont="1" applyFill="1" applyBorder="1"/>
    <xf numFmtId="0" fontId="4" fillId="7" borderId="9" xfId="0" applyFont="1" applyFill="1" applyBorder="1"/>
    <xf numFmtId="0" fontId="4" fillId="7" borderId="10" xfId="0" applyFont="1" applyFill="1" applyBorder="1"/>
    <xf numFmtId="165" fontId="4" fillId="7" borderId="10" xfId="0" applyNumberFormat="1" applyFont="1" applyFill="1" applyBorder="1"/>
    <xf numFmtId="0" fontId="4" fillId="7" borderId="11" xfId="0" applyFont="1" applyFill="1" applyBorder="1"/>
    <xf numFmtId="0" fontId="4" fillId="14" borderId="9" xfId="0" applyFont="1" applyFill="1" applyBorder="1"/>
    <xf numFmtId="165" fontId="4" fillId="14" borderId="10" xfId="0" applyNumberFormat="1" applyFont="1" applyFill="1" applyBorder="1"/>
    <xf numFmtId="165" fontId="4" fillId="14" borderId="11" xfId="0" applyNumberFormat="1" applyFont="1" applyFill="1" applyBorder="1"/>
    <xf numFmtId="0" fontId="4" fillId="7" borderId="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13" borderId="2" xfId="0" applyFont="1" applyFill="1" applyBorder="1" applyAlignment="1">
      <alignment horizontal="center"/>
    </xf>
    <xf numFmtId="0" fontId="4" fillId="13" borderId="0" xfId="0" applyFont="1" applyFill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14" borderId="0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theme="8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</font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b/>
        <i/>
        <color theme="5" tint="0.39994506668294322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Light16">
    <tableStyle name="Table Style" pivot="0" count="1" xr9:uid="{9186B6AD-1665-4F74-9CF2-F839F38C8769}">
      <tableStyleElement type="wholeTable" dxfId="781"/>
    </tableStyle>
    <tableStyle name="Table Style Mine" pivot="0" count="1" xr9:uid="{24B62284-CFD2-4A14-AE2B-17A7B7FDD7B4}">
      <tableStyleElement type="wholeTable" dxfId="7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8-4A7E-8CE5-C769EA05239E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8-4A7E-8CE5-C769EA052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51C-452A-A20D-58552FF1E39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51C-452A-A20D-58552FF1E39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51C-452A-A20D-58552FF1E39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1C-452A-A20D-58552FF1E39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51C-452A-A20D-58552FF1E39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51C-452A-A20D-58552FF1E39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1C-452A-A20D-58552FF1E39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51C-452A-A20D-58552FF1E39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51C-452A-A20D-58552FF1E39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BD6-47F8-8CED-5B6A70C0B20E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BD6-47F8-8CED-5B6A70C0B20E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BD6-47F8-8CED-5B6A70C0B20E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BD6-47F8-8CED-5B6A70C0B20E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BD6-47F8-8CED-5B6A70C0B20E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51C-452A-A20D-58552FF1E396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51C-452A-A20D-58552FF1E396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51C-452A-A20D-58552FF1E396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1C-452A-A20D-58552FF1E396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1C-452A-A20D-58552FF1E396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1C-452A-A20D-58552FF1E396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1C-452A-A20D-58552FF1E396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1C-452A-A20D-58552FF1E396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1C-452A-A20D-58552FF1E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1C-452A-A20D-58552FF1E396}"/>
            </c:ext>
          </c:extLst>
        </c:ser>
        <c:ser>
          <c:idx val="1"/>
          <c:order val="1"/>
          <c:tx>
            <c:strRef>
              <c:f>'1'!$H$12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51C-452A-A20D-58552FF1E39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51C-452A-A20D-58552FF1E39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51C-452A-A20D-58552FF1E39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51C-452A-A20D-58552FF1E39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1C-452A-A20D-58552FF1E39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51C-452A-A20D-58552FF1E39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1C-452A-A20D-58552FF1E39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51C-452A-A20D-58552FF1E39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1C-452A-A20D-58552FF1E39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BD6-47F8-8CED-5B6A70C0B20E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BD6-47F8-8CED-5B6A70C0B20E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BD6-47F8-8CED-5B6A70C0B20E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BD6-47F8-8CED-5B6A70C0B20E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BD6-47F8-8CED-5B6A70C0B20E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51C-452A-A20D-58552FF1E396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51C-452A-A20D-58552FF1E396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51C-452A-A20D-58552FF1E396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1C-452A-A20D-58552FF1E396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1C-452A-A20D-58552FF1E396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51C-452A-A20D-58552FF1E396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1C-452A-A20D-58552FF1E396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1C-452A-A20D-58552FF1E396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1C-452A-A20D-58552FF1E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80</c:v>
                </c:pt>
                <c:pt idx="2">
                  <c:v>85</c:v>
                </c:pt>
                <c:pt idx="3">
                  <c:v>1715</c:v>
                </c:pt>
                <c:pt idx="4">
                  <c:v>100</c:v>
                </c:pt>
                <c:pt idx="5">
                  <c:v>150</c:v>
                </c:pt>
                <c:pt idx="6">
                  <c:v>500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1C-452A-A20D-58552FF1E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4D-4272-9563-1451B7B7C0CB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68A-4B95-98D2-62564A6546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68A-4B95-98D2-62564A6546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8A-4B95-98D2-62564A6546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68A-4B95-98D2-62564A6546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8A-4B95-98D2-62564A6546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44D-4272-9563-1451B7B7C0C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44D-4272-9563-1451B7B7C0C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44D-4272-9563-1451B7B7C0C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44D-4272-9563-1451B7B7C0C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44D-4272-9563-1451B7B7C0C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44D-4272-9563-1451B7B7C0C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44D-4272-9563-1451B7B7C0C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44D-4272-9563-1451B7B7C0CB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A-4B95-98D2-62564A6546AA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A-4B95-98D2-62564A6546AA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8A-4B95-98D2-62564A6546AA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A-4B95-98D2-62564A6546AA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A-4B95-98D2-62564A654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A-4B95-98D2-62564A6546AA}"/>
            </c:ext>
          </c:extLst>
        </c:ser>
        <c:ser>
          <c:idx val="1"/>
          <c:order val="1"/>
          <c:tx>
            <c:strRef>
              <c:f>'1'!$C$12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68A-4B95-98D2-62564A6546A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68A-4B95-98D2-62564A6546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8A-4B95-98D2-62564A6546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68A-4B95-98D2-62564A6546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68A-4B95-98D2-62564A6546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8A-4B95-98D2-62564A6546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44D-4272-9563-1451B7B7C0C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44D-4272-9563-1451B7B7C0C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44D-4272-9563-1451B7B7C0C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44D-4272-9563-1451B7B7C0C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44D-4272-9563-1451B7B7C0C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44D-4272-9563-1451B7B7C0C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44D-4272-9563-1451B7B7C0C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44D-4272-9563-1451B7B7C0CB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A-4B95-98D2-62564A6546AA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A-4B95-98D2-62564A6546AA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8A-4B95-98D2-62564A6546AA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A-4B95-98D2-62564A6546AA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A-4B95-98D2-62564A6546AA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A-4B95-98D2-62564A654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'1'!$C$13:$C$26</c:f>
              <c:numCache>
                <c:formatCode>_-* #,##0.00\ [$zł-415]_-;\-* #,##0.00\ [$zł-415]_-;_-* "-"??\ [$zł-415]_-;_-@_-</c:formatCode>
                <c:ptCount val="14"/>
                <c:pt idx="0">
                  <c:v>250</c:v>
                </c:pt>
                <c:pt idx="1">
                  <c:v>105.5</c:v>
                </c:pt>
                <c:pt idx="2">
                  <c:v>0</c:v>
                </c:pt>
                <c:pt idx="3">
                  <c:v>800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A-4B95-98D2-62564A654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'2'!$B$5:$B$7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A9-491B-8C1E-AE0A53395125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'2'!$C$5:$C$7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A9-491B-8C1E-AE0A53395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52-4429-BC68-E2C0C71C2668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52-4429-BC68-E2C0C71C2668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52-4429-BC68-E2C0C71C2668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652-4429-BC68-E2C0C71C2668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652-4429-BC68-E2C0C71C2668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652-4429-BC68-E2C0C71C2668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652-4429-BC68-E2C0C71C2668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652-4429-BC68-E2C0C71C2668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652-4429-BC68-E2C0C71C2668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652-4429-BC68-E2C0C71C2668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652-4429-BC68-E2C0C71C2668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652-4429-BC68-E2C0C71C2668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652-4429-BC68-E2C0C71C2668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652-4429-BC68-E2C0C71C2668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52-4429-BC68-E2C0C71C2668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52-4429-BC68-E2C0C71C2668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52-4429-BC68-E2C0C71C2668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52-4429-BC68-E2C0C71C2668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652-4429-BC68-E2C0C71C2668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52-4429-BC68-E2C0C71C2668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652-4429-BC68-E2C0C71C2668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652-4429-BC68-E2C0C71C2668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652-4429-BC68-E2C0C71C26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652-4429-BC68-E2C0C71C2668}"/>
            </c:ext>
          </c:extLst>
        </c:ser>
        <c:ser>
          <c:idx val="1"/>
          <c:order val="1"/>
          <c:tx>
            <c:strRef>
              <c:f>'2'!$H$12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652-4429-BC68-E2C0C71C2668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652-4429-BC68-E2C0C71C2668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652-4429-BC68-E2C0C71C2668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652-4429-BC68-E2C0C71C2668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652-4429-BC68-E2C0C71C2668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652-4429-BC68-E2C0C71C2668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652-4429-BC68-E2C0C71C2668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652-4429-BC68-E2C0C71C2668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652-4429-BC68-E2C0C71C2668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652-4429-BC68-E2C0C71C2668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652-4429-BC68-E2C0C71C2668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652-4429-BC68-E2C0C71C2668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652-4429-BC68-E2C0C71C2668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652-4429-BC68-E2C0C71C2668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652-4429-BC68-E2C0C71C2668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652-4429-BC68-E2C0C71C2668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652-4429-BC68-E2C0C71C2668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652-4429-BC68-E2C0C71C2668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652-4429-BC68-E2C0C71C2668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652-4429-BC68-E2C0C71C2668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652-4429-BC68-E2C0C71C2668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652-4429-BC68-E2C0C71C2668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652-4429-BC68-E2C0C71C26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350</c:v>
                </c:pt>
                <c:pt idx="3">
                  <c:v>405.5</c:v>
                </c:pt>
                <c:pt idx="4">
                  <c:v>250</c:v>
                </c:pt>
                <c:pt idx="5">
                  <c:v>150</c:v>
                </c:pt>
                <c:pt idx="6">
                  <c:v>765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652-4429-BC68-E2C0C71C2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C2-4980-BD46-DC84B030E4E4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C2-4980-BD46-DC84B030E4E4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C2-4980-BD46-DC84B030E4E4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C2-4980-BD46-DC84B030E4E4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C2-4980-BD46-DC84B030E4E4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C2-4980-BD46-DC84B030E4E4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C2-4980-BD46-DC84B030E4E4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C2-4980-BD46-DC84B030E4E4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EC2-4980-BD46-DC84B030E4E4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EC2-4980-BD46-DC84B030E4E4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EC2-4980-BD46-DC84B030E4E4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EC2-4980-BD46-DC84B030E4E4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EC2-4980-BD46-DC84B030E4E4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EC2-4980-BD46-DC84B030E4E4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C2-4980-BD46-DC84B030E4E4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C2-4980-BD46-DC84B030E4E4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C2-4980-BD46-DC84B030E4E4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EC2-4980-BD46-DC84B030E4E4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C2-4980-BD46-DC84B030E4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C2-4980-BD46-DC84B030E4E4}"/>
            </c:ext>
          </c:extLst>
        </c:ser>
        <c:ser>
          <c:idx val="1"/>
          <c:order val="1"/>
          <c:tx>
            <c:strRef>
              <c:f>'2'!$C$12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9EC2-4980-BD46-DC84B030E4E4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9EC2-4980-BD46-DC84B030E4E4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9EC2-4980-BD46-DC84B030E4E4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9EC2-4980-BD46-DC84B030E4E4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9EC2-4980-BD46-DC84B030E4E4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9EC2-4980-BD46-DC84B030E4E4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9EC2-4980-BD46-DC84B030E4E4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9EC2-4980-BD46-DC84B030E4E4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9EC2-4980-BD46-DC84B030E4E4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9EC2-4980-BD46-DC84B030E4E4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9EC2-4980-BD46-DC84B030E4E4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9EC2-4980-BD46-DC84B030E4E4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9EC2-4980-BD46-DC84B030E4E4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9EC2-4980-BD46-DC84B030E4E4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EC2-4980-BD46-DC84B030E4E4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EC2-4980-BD46-DC84B030E4E4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EC2-4980-BD46-DC84B030E4E4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EC2-4980-BD46-DC84B030E4E4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EC2-4980-BD46-DC84B030E4E4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EC2-4980-BD46-DC84B030E4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115</c:v>
                </c:pt>
                <c:pt idx="2">
                  <c:v>0</c:v>
                </c:pt>
                <c:pt idx="3">
                  <c:v>1950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EC2-4980-BD46-DC84B030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'3'!$B$5:$B$7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F-4781-9DDE-1E1AA580048A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'3'!$C$5:$C$7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F-4781-9DDE-1E1AA5800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696-46AB-B013-EBB4B861836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696-46AB-B013-EBB4B861836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696-46AB-B013-EBB4B861836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696-46AB-B013-EBB4B861836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696-46AB-B013-EBB4B861836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696-46AB-B013-EBB4B861836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696-46AB-B013-EBB4B861836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696-46AB-B013-EBB4B861836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696-46AB-B013-EBB4B861836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696-46AB-B013-EBB4B861836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696-46AB-B013-EBB4B861836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696-46AB-B013-EBB4B861836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696-46AB-B013-EBB4B861836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696-46AB-B013-EBB4B8618363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96-46AB-B013-EBB4B8618363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96-46AB-B013-EBB4B8618363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696-46AB-B013-EBB4B8618363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96-46AB-B013-EBB4B8618363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696-46AB-B013-EBB4B8618363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96-46AB-B013-EBB4B8618363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696-46AB-B013-EBB4B8618363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696-46AB-B013-EBB4B8618363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696-46AB-B013-EBB4B86183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696-46AB-B013-EBB4B8618363}"/>
            </c:ext>
          </c:extLst>
        </c:ser>
        <c:ser>
          <c:idx val="1"/>
          <c:order val="1"/>
          <c:tx>
            <c:strRef>
              <c:f>'3'!$H$12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696-46AB-B013-EBB4B861836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696-46AB-B013-EBB4B861836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696-46AB-B013-EBB4B861836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696-46AB-B013-EBB4B861836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8696-46AB-B013-EBB4B861836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8696-46AB-B013-EBB4B861836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8696-46AB-B013-EBB4B861836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8696-46AB-B013-EBB4B861836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696-46AB-B013-EBB4B861836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8696-46AB-B013-EBB4B861836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8696-46AB-B013-EBB4B861836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8696-46AB-B013-EBB4B861836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8696-46AB-B013-EBB4B861836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8696-46AB-B013-EBB4B8618363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696-46AB-B013-EBB4B8618363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696-46AB-B013-EBB4B8618363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696-46AB-B013-EBB4B8618363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696-46AB-B013-EBB4B8618363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696-46AB-B013-EBB4B8618363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696-46AB-B013-EBB4B8618363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8696-46AB-B013-EBB4B8618363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8696-46AB-B013-EBB4B8618363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8696-46AB-B013-EBB4B86183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469.9</c:v>
                </c:pt>
                <c:pt idx="2">
                  <c:v>200</c:v>
                </c:pt>
                <c:pt idx="3">
                  <c:v>734.99</c:v>
                </c:pt>
                <c:pt idx="4">
                  <c:v>9.5</c:v>
                </c:pt>
                <c:pt idx="5">
                  <c:v>23</c:v>
                </c:pt>
                <c:pt idx="6">
                  <c:v>300</c:v>
                </c:pt>
                <c:pt idx="7">
                  <c:v>79.5</c:v>
                </c:pt>
                <c:pt idx="8">
                  <c:v>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696-46AB-B013-EBB4B861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BE-4D44-B69C-7D2A38029EFE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BE-4D44-B69C-7D2A38029EFE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BE-4D44-B69C-7D2A38029EFE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5BE-4D44-B69C-7D2A38029EFE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5BE-4D44-B69C-7D2A38029EFE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5BE-4D44-B69C-7D2A38029EFE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5BE-4D44-B69C-7D2A38029EFE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5BE-4D44-B69C-7D2A38029EFE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5BE-4D44-B69C-7D2A38029EFE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5BE-4D44-B69C-7D2A38029EFE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5BE-4D44-B69C-7D2A38029EFE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5BE-4D44-B69C-7D2A38029EFE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5BE-4D44-B69C-7D2A38029EFE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5BE-4D44-B69C-7D2A38029EFE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BE-4D44-B69C-7D2A38029EFE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BE-4D44-B69C-7D2A38029EFE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BE-4D44-B69C-7D2A38029EFE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BE-4D44-B69C-7D2A38029EFE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BE-4D44-B69C-7D2A38029E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5BE-4D44-B69C-7D2A38029EFE}"/>
            </c:ext>
          </c:extLst>
        </c:ser>
        <c:ser>
          <c:idx val="1"/>
          <c:order val="1"/>
          <c:tx>
            <c:strRef>
              <c:f>'3'!$C$12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75BE-4D44-B69C-7D2A38029EFE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75BE-4D44-B69C-7D2A38029EFE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75BE-4D44-B69C-7D2A38029EFE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75BE-4D44-B69C-7D2A38029EFE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75BE-4D44-B69C-7D2A38029EFE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75BE-4D44-B69C-7D2A38029EFE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75BE-4D44-B69C-7D2A38029EFE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75BE-4D44-B69C-7D2A38029EFE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75BE-4D44-B69C-7D2A38029EFE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75BE-4D44-B69C-7D2A38029EFE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75BE-4D44-B69C-7D2A38029EFE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75BE-4D44-B69C-7D2A38029EFE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75BE-4D44-B69C-7D2A38029EFE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75BE-4D44-B69C-7D2A38029EFE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5BE-4D44-B69C-7D2A38029EFE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5BE-4D44-B69C-7D2A38029EFE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5BE-4D44-B69C-7D2A38029EFE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5BE-4D44-B69C-7D2A38029EFE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5BE-4D44-B69C-7D2A38029EFE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5BE-4D44-B69C-7D2A38029E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150</c:v>
                </c:pt>
                <c:pt idx="2">
                  <c:v>5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75BE-4D44-B69C-7D2A38029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'4'!$B$5:$B$7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07-4D27-A622-CD4383211AFB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'4'!$C$5:$C$7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07-4D27-A622-CD4383211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1-4B41-8F4F-D36D7AD5E80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1-4B41-8F4F-D36D7AD5E80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1-4B41-8F4F-D36D7AD5E80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1-4B41-8F4F-D36D7AD5E80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1-4B41-8F4F-D36D7AD5E80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1-4B41-8F4F-D36D7AD5E80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1-4B41-8F4F-D36D7AD5E80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411-4B41-8F4F-D36D7AD5E80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411-4B41-8F4F-D36D7AD5E80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411-4B41-8F4F-D36D7AD5E80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411-4B41-8F4F-D36D7AD5E80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411-4B41-8F4F-D36D7AD5E80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411-4B41-8F4F-D36D7AD5E80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411-4B41-8F4F-D36D7AD5E803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11-4B41-8F4F-D36D7AD5E803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11-4B41-8F4F-D36D7AD5E803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11-4B41-8F4F-D36D7AD5E803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11-4B41-8F4F-D36D7AD5E803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411-4B41-8F4F-D36D7AD5E803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11-4B41-8F4F-D36D7AD5E803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411-4B41-8F4F-D36D7AD5E803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411-4B41-8F4F-D36D7AD5E803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411-4B41-8F4F-D36D7AD5E8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411-4B41-8F4F-D36D7AD5E803}"/>
            </c:ext>
          </c:extLst>
        </c:ser>
        <c:ser>
          <c:idx val="1"/>
          <c:order val="1"/>
          <c:tx>
            <c:strRef>
              <c:f>'4'!$H$12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411-4B41-8F4F-D36D7AD5E80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411-4B41-8F4F-D36D7AD5E80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411-4B41-8F4F-D36D7AD5E80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411-4B41-8F4F-D36D7AD5E80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D411-4B41-8F4F-D36D7AD5E80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D411-4B41-8F4F-D36D7AD5E80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D411-4B41-8F4F-D36D7AD5E80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D411-4B41-8F4F-D36D7AD5E80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D411-4B41-8F4F-D36D7AD5E80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D411-4B41-8F4F-D36D7AD5E80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D411-4B41-8F4F-D36D7AD5E80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D411-4B41-8F4F-D36D7AD5E80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D411-4B41-8F4F-D36D7AD5E80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D411-4B41-8F4F-D36D7AD5E803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411-4B41-8F4F-D36D7AD5E803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411-4B41-8F4F-D36D7AD5E803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411-4B41-8F4F-D36D7AD5E803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411-4B41-8F4F-D36D7AD5E803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411-4B41-8F4F-D36D7AD5E803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411-4B41-8F4F-D36D7AD5E803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D411-4B41-8F4F-D36D7AD5E803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D411-4B41-8F4F-D36D7AD5E803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D411-4B41-8F4F-D36D7AD5E8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149</c:v>
                </c:pt>
                <c:pt idx="2">
                  <c:v>1057.9000000000001</c:v>
                </c:pt>
                <c:pt idx="3">
                  <c:v>372.26</c:v>
                </c:pt>
                <c:pt idx="4">
                  <c:v>23.5</c:v>
                </c:pt>
                <c:pt idx="5">
                  <c:v>49</c:v>
                </c:pt>
                <c:pt idx="6">
                  <c:v>100</c:v>
                </c:pt>
                <c:pt idx="7">
                  <c:v>139</c:v>
                </c:pt>
                <c:pt idx="8">
                  <c:v>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D411-4B41-8F4F-D36D7AD5E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F7-4DA8-9196-EBC3BADBDD3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F7-4DA8-9196-EBC3BADBDD3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F7-4DA8-9196-EBC3BADBDD3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F7-4DA8-9196-EBC3BADBDD3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6F7-4DA8-9196-EBC3BADBDD3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F7-4DA8-9196-EBC3BADBDD3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F7-4DA8-9196-EBC3BADBDD3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6F7-4DA8-9196-EBC3BADBDD3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6F7-4DA8-9196-EBC3BADBDD3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6F7-4DA8-9196-EBC3BADBDD3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6F7-4DA8-9196-EBC3BADBDD3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6F7-4DA8-9196-EBC3BADBDD3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6F7-4DA8-9196-EBC3BADBDD3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6F7-4DA8-9196-EBC3BADBDD33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F7-4DA8-9196-EBC3BADBDD33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F7-4DA8-9196-EBC3BADBDD33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F7-4DA8-9196-EBC3BADBDD33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F7-4DA8-9196-EBC3BADBDD33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F7-4DA8-9196-EBC3BADBDD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6F7-4DA8-9196-EBC3BADBDD33}"/>
            </c:ext>
          </c:extLst>
        </c:ser>
        <c:ser>
          <c:idx val="1"/>
          <c:order val="1"/>
          <c:tx>
            <c:strRef>
              <c:f>'4'!$C$12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6F7-4DA8-9196-EBC3BADBDD3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6F7-4DA8-9196-EBC3BADBDD3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6F7-4DA8-9196-EBC3BADBDD3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6F7-4DA8-9196-EBC3BADBDD3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46F7-4DA8-9196-EBC3BADBDD3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46F7-4DA8-9196-EBC3BADBDD3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46F7-4DA8-9196-EBC3BADBDD3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46F7-4DA8-9196-EBC3BADBDD3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46F7-4DA8-9196-EBC3BADBDD3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46F7-4DA8-9196-EBC3BADBDD3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46F7-4DA8-9196-EBC3BADBDD3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46F7-4DA8-9196-EBC3BADBDD3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46F7-4DA8-9196-EBC3BADBDD3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46F7-4DA8-9196-EBC3BADBDD33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6F7-4DA8-9196-EBC3BADBDD33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6F7-4DA8-9196-EBC3BADBDD33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6F7-4DA8-9196-EBC3BADBDD33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6F7-4DA8-9196-EBC3BADBDD33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6F7-4DA8-9196-EBC3BADBDD33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6F7-4DA8-9196-EBC3BADBDD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150</c:v>
                </c:pt>
                <c:pt idx="2">
                  <c:v>50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6F7-4DA8-9196-EBC3BADBD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'5'!$B$5:$B$7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A9-48D0-A1EA-D5A484C3B77D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'5'!$C$5:$C$7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A9-48D0-A1EA-D5A484C3B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FD-4718-A8E2-8984A4B47EC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FD-4718-A8E2-8984A4B47EC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FD-4718-A8E2-8984A4B47EC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1FD-4718-A8E2-8984A4B47EC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1FD-4718-A8E2-8984A4B47EC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1FD-4718-A8E2-8984A4B47EC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1FD-4718-A8E2-8984A4B47EC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1FD-4718-A8E2-8984A4B47EC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1FD-4718-A8E2-8984A4B47EC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1FD-4718-A8E2-8984A4B47EC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1FD-4718-A8E2-8984A4B47EC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1FD-4718-A8E2-8984A4B47EC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1FD-4718-A8E2-8984A4B47EC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1FD-4718-A8E2-8984A4B47ECD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FD-4718-A8E2-8984A4B47ECD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FD-4718-A8E2-8984A4B47ECD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FD-4718-A8E2-8984A4B47ECD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FD-4718-A8E2-8984A4B47ECD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1FD-4718-A8E2-8984A4B47ECD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FD-4718-A8E2-8984A4B47ECD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1FD-4718-A8E2-8984A4B47ECD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1FD-4718-A8E2-8984A4B47ECD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1FD-4718-A8E2-8984A4B47E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1FD-4718-A8E2-8984A4B47ECD}"/>
            </c:ext>
          </c:extLst>
        </c:ser>
        <c:ser>
          <c:idx val="1"/>
          <c:order val="1"/>
          <c:tx>
            <c:strRef>
              <c:f>'5'!$H$12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1FD-4718-A8E2-8984A4B47EC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1FD-4718-A8E2-8984A4B47EC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1FD-4718-A8E2-8984A4B47EC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1FD-4718-A8E2-8984A4B47EC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1FD-4718-A8E2-8984A4B47EC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1FD-4718-A8E2-8984A4B47EC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1FD-4718-A8E2-8984A4B47EC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1FD-4718-A8E2-8984A4B47EC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1FD-4718-A8E2-8984A4B47EC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1FD-4718-A8E2-8984A4B47EC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1FD-4718-A8E2-8984A4B47EC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1FD-4718-A8E2-8984A4B47EC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1FD-4718-A8E2-8984A4B47EC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1FD-4718-A8E2-8984A4B47ECD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1FD-4718-A8E2-8984A4B47ECD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1FD-4718-A8E2-8984A4B47ECD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1FD-4718-A8E2-8984A4B47ECD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1FD-4718-A8E2-8984A4B47ECD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1FD-4718-A8E2-8984A4B47ECD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1FD-4718-A8E2-8984A4B47ECD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1FD-4718-A8E2-8984A4B47ECD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1FD-4718-A8E2-8984A4B47ECD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1FD-4718-A8E2-8984A4B47E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80</c:v>
                </c:pt>
                <c:pt idx="3">
                  <c:v>1000</c:v>
                </c:pt>
                <c:pt idx="4">
                  <c:v>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1FD-4718-A8E2-8984A4B47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8C-437E-B3F7-6AC759E24FDE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98C-437E-B3F7-6AC759E24FDE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98C-437E-B3F7-6AC759E24FDE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98C-437E-B3F7-6AC759E24FDE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98C-437E-B3F7-6AC759E24FDE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98C-437E-B3F7-6AC759E24FDE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98C-437E-B3F7-6AC759E24FDE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98C-437E-B3F7-6AC759E24FDE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98C-437E-B3F7-6AC759E24FDE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98C-437E-B3F7-6AC759E24FDE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98C-437E-B3F7-6AC759E24FDE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98C-437E-B3F7-6AC759E24FDE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98C-437E-B3F7-6AC759E24FDE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98C-437E-B3F7-6AC759E24FDE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8C-437E-B3F7-6AC759E24FDE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8C-437E-B3F7-6AC759E24FDE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8C-437E-B3F7-6AC759E24FDE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8C-437E-B3F7-6AC759E24FDE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8C-437E-B3F7-6AC759E24F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98C-437E-B3F7-6AC759E24FDE}"/>
            </c:ext>
          </c:extLst>
        </c:ser>
        <c:ser>
          <c:idx val="1"/>
          <c:order val="1"/>
          <c:tx>
            <c:strRef>
              <c:f>'5'!$C$12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F98C-437E-B3F7-6AC759E24FDE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F98C-437E-B3F7-6AC759E24FDE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F98C-437E-B3F7-6AC759E24FDE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F98C-437E-B3F7-6AC759E24FDE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F98C-437E-B3F7-6AC759E24FDE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F98C-437E-B3F7-6AC759E24FDE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F98C-437E-B3F7-6AC759E24FDE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F98C-437E-B3F7-6AC759E24FDE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F98C-437E-B3F7-6AC759E24FDE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F98C-437E-B3F7-6AC759E24FDE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F98C-437E-B3F7-6AC759E24FDE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F98C-437E-B3F7-6AC759E24FDE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F98C-437E-B3F7-6AC759E24FDE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F98C-437E-B3F7-6AC759E24FDE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98C-437E-B3F7-6AC759E24FDE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F98C-437E-B3F7-6AC759E24FDE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F98C-437E-B3F7-6AC759E24FDE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F98C-437E-B3F7-6AC759E24FDE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F98C-437E-B3F7-6AC759E24FDE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F98C-437E-B3F7-6AC759E24F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98C-437E-B3F7-6AC759E24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'6'!$B$5:$B$7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A-46CA-AC0D-4757817CC657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'6'!$C$5:$C$7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8A-46CA-AC0D-4757817CC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9F-42AC-8484-5B834C4A7914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9F-42AC-8484-5B834C4A7914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E9F-42AC-8484-5B834C4A7914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E9F-42AC-8484-5B834C4A7914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9F-42AC-8484-5B834C4A7914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9F-42AC-8484-5B834C4A7914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9F-42AC-8484-5B834C4A7914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E9F-42AC-8484-5B834C4A7914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E9F-42AC-8484-5B834C4A7914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E9F-42AC-8484-5B834C4A7914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E9F-42AC-8484-5B834C4A7914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E9F-42AC-8484-5B834C4A7914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E9F-42AC-8484-5B834C4A7914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E9F-42AC-8484-5B834C4A7914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9F-42AC-8484-5B834C4A7914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9F-42AC-8484-5B834C4A7914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9F-42AC-8484-5B834C4A7914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9F-42AC-8484-5B834C4A7914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9F-42AC-8484-5B834C4A7914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9F-42AC-8484-5B834C4A7914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9F-42AC-8484-5B834C4A7914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E9F-42AC-8484-5B834C4A7914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E9F-42AC-8484-5B834C4A7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E9F-42AC-8484-5B834C4A7914}"/>
            </c:ext>
          </c:extLst>
        </c:ser>
        <c:ser>
          <c:idx val="1"/>
          <c:order val="1"/>
          <c:tx>
            <c:strRef>
              <c:f>'6'!$H$12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E9F-42AC-8484-5B834C4A7914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E9F-42AC-8484-5B834C4A7914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E9F-42AC-8484-5B834C4A7914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E9F-42AC-8484-5B834C4A7914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CE9F-42AC-8484-5B834C4A7914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CE9F-42AC-8484-5B834C4A7914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CE9F-42AC-8484-5B834C4A7914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CE9F-42AC-8484-5B834C4A7914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CE9F-42AC-8484-5B834C4A7914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CE9F-42AC-8484-5B834C4A7914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CE9F-42AC-8484-5B834C4A7914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CE9F-42AC-8484-5B834C4A7914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CE9F-42AC-8484-5B834C4A7914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CE9F-42AC-8484-5B834C4A7914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E9F-42AC-8484-5B834C4A7914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E9F-42AC-8484-5B834C4A7914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E9F-42AC-8484-5B834C4A7914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E9F-42AC-8484-5B834C4A7914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E9F-42AC-8484-5B834C4A7914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E9F-42AC-8484-5B834C4A7914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E9F-42AC-8484-5B834C4A7914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E9F-42AC-8484-5B834C4A7914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E9F-42AC-8484-5B834C4A7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300</c:v>
                </c:pt>
                <c:pt idx="2">
                  <c:v>200</c:v>
                </c:pt>
                <c:pt idx="3">
                  <c:v>1000</c:v>
                </c:pt>
                <c:pt idx="4">
                  <c:v>100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E9F-42AC-8484-5B834C4A7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A8-425E-AEEC-8788882C41AB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A8-425E-AEEC-8788882C41AB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A8-425E-AEEC-8788882C41AB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A8-425E-AEEC-8788882C41AB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2A8-425E-AEEC-8788882C41AB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2A8-425E-AEEC-8788882C41AB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2A8-425E-AEEC-8788882C41A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2A8-425E-AEEC-8788882C41A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2A8-425E-AEEC-8788882C41A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2A8-425E-AEEC-8788882C41A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2A8-425E-AEEC-8788882C41A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2A8-425E-AEEC-8788882C41A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2A8-425E-AEEC-8788882C41A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2A8-425E-AEEC-8788882C41AB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A8-425E-AEEC-8788882C41AB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A8-425E-AEEC-8788882C41AB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A8-425E-AEEC-8788882C41AB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A8-425E-AEEC-8788882C41AB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A8-425E-AEEC-8788882C41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2A8-425E-AEEC-8788882C41AB}"/>
            </c:ext>
          </c:extLst>
        </c:ser>
        <c:ser>
          <c:idx val="1"/>
          <c:order val="1"/>
          <c:tx>
            <c:strRef>
              <c:f>'6'!$C$12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2A8-425E-AEEC-8788882C41AB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2A8-425E-AEEC-8788882C41AB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2A8-425E-AEEC-8788882C41AB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2A8-425E-AEEC-8788882C41AB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2A8-425E-AEEC-8788882C41AB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2A8-425E-AEEC-8788882C41AB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2A8-425E-AEEC-8788882C41A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2A8-425E-AEEC-8788882C41A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2A8-425E-AEEC-8788882C41A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2A8-425E-AEEC-8788882C41A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2A8-425E-AEEC-8788882C41A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2A8-425E-AEEC-8788882C41A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2A8-425E-AEEC-8788882C41A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2A8-425E-AEEC-8788882C41AB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2A8-425E-AEEC-8788882C41AB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2A8-425E-AEEC-8788882C41AB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2A8-425E-AEEC-8788882C41AB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2A8-425E-AEEC-8788882C41AB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2A8-425E-AEEC-8788882C41AB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2A8-425E-AEEC-8788882C41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'6'!$C$13:$C$26</c:f>
              <c:numCache>
                <c:formatCode>_-* #,##0.00\ [$zł-415]_-;\-* #,##0.00\ [$zł-415]_-;_-* "-"??\ [$zł-415]_-;_-@_-</c:formatCode>
                <c:ptCount val="14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2A8-425E-AEEC-8788882C4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'7'!$B$5:$B$7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98-44A8-8FEF-799F632FCEF2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'7'!$C$5:$C$7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98-44A8-8FEF-799F632FC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67-47A3-BD76-3BB13292DB64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67-47A3-BD76-3BB13292DB64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367-47A3-BD76-3BB13292DB64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367-47A3-BD76-3BB13292DB64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367-47A3-BD76-3BB13292DB64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367-47A3-BD76-3BB13292DB64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367-47A3-BD76-3BB13292DB64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367-47A3-BD76-3BB13292DB64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367-47A3-BD76-3BB13292DB64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367-47A3-BD76-3BB13292DB64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367-47A3-BD76-3BB13292DB64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367-47A3-BD76-3BB13292DB64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367-47A3-BD76-3BB13292DB64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367-47A3-BD76-3BB13292DB64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67-47A3-BD76-3BB13292DB64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67-47A3-BD76-3BB13292DB64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67-47A3-BD76-3BB13292DB64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67-47A3-BD76-3BB13292DB64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67-47A3-BD76-3BB13292DB64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67-47A3-BD76-3BB13292DB64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67-47A3-BD76-3BB13292DB64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367-47A3-BD76-3BB13292DB64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367-47A3-BD76-3BB13292DB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367-47A3-BD76-3BB13292DB64}"/>
            </c:ext>
          </c:extLst>
        </c:ser>
        <c:ser>
          <c:idx val="1"/>
          <c:order val="1"/>
          <c:tx>
            <c:strRef>
              <c:f>'7'!$H$12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367-47A3-BD76-3BB13292DB64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367-47A3-BD76-3BB13292DB64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367-47A3-BD76-3BB13292DB64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367-47A3-BD76-3BB13292DB64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367-47A3-BD76-3BB13292DB64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367-47A3-BD76-3BB13292DB64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367-47A3-BD76-3BB13292DB64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367-47A3-BD76-3BB13292DB64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367-47A3-BD76-3BB13292DB64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367-47A3-BD76-3BB13292DB64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367-47A3-BD76-3BB13292DB64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367-47A3-BD76-3BB13292DB64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367-47A3-BD76-3BB13292DB64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367-47A3-BD76-3BB13292DB64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367-47A3-BD76-3BB13292DB64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367-47A3-BD76-3BB13292DB64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367-47A3-BD76-3BB13292DB64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367-47A3-BD76-3BB13292DB64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367-47A3-BD76-3BB13292DB64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367-47A3-BD76-3BB13292DB64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367-47A3-BD76-3BB13292DB64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367-47A3-BD76-3BB13292DB64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367-47A3-BD76-3BB13292DB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-250</c:v>
                </c:pt>
                <c:pt idx="2">
                  <c:v>700</c:v>
                </c:pt>
                <c:pt idx="3">
                  <c:v>165</c:v>
                </c:pt>
                <c:pt idx="4">
                  <c:v>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367-47A3-BD76-3BB13292D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E9-48C4-8EFE-9759DFA5262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E9-48C4-8EFE-9759DFA5262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E9-48C4-8EFE-9759DFA5262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E9-48C4-8EFE-9759DFA5262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E9-48C4-8EFE-9759DFA5262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E9-48C4-8EFE-9759DFA5262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5E9-48C4-8EFE-9759DFA5262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5E9-48C4-8EFE-9759DFA5262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5E9-48C4-8EFE-9759DFA5262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5E9-48C4-8EFE-9759DFA5262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5E9-48C4-8EFE-9759DFA5262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5E9-48C4-8EFE-9759DFA5262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5E9-48C4-8EFE-9759DFA5262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5E9-48C4-8EFE-9759DFA52623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E9-48C4-8EFE-9759DFA52623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E9-48C4-8EFE-9759DFA52623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E9-48C4-8EFE-9759DFA52623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E9-48C4-8EFE-9759DFA52623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E9-48C4-8EFE-9759DFA526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5E9-48C4-8EFE-9759DFA52623}"/>
            </c:ext>
          </c:extLst>
        </c:ser>
        <c:ser>
          <c:idx val="1"/>
          <c:order val="1"/>
          <c:tx>
            <c:strRef>
              <c:f>'7'!$C$12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5E9-48C4-8EFE-9759DFA5262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5E9-48C4-8EFE-9759DFA5262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5E9-48C4-8EFE-9759DFA5262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5E9-48C4-8EFE-9759DFA5262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5E9-48C4-8EFE-9759DFA5262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5E9-48C4-8EFE-9759DFA5262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5E9-48C4-8EFE-9759DFA5262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5E9-48C4-8EFE-9759DFA5262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5E9-48C4-8EFE-9759DFA5262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5E9-48C4-8EFE-9759DFA5262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5E9-48C4-8EFE-9759DFA5262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5E9-48C4-8EFE-9759DFA5262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5E9-48C4-8EFE-9759DFA5262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5E9-48C4-8EFE-9759DFA52623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5E9-48C4-8EFE-9759DFA52623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5E9-48C4-8EFE-9759DFA52623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5E9-48C4-8EFE-9759DFA52623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5E9-48C4-8EFE-9759DFA52623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5E9-48C4-8EFE-9759DFA52623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5E9-48C4-8EFE-9759DFA526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120</c:v>
                </c:pt>
                <c:pt idx="2">
                  <c:v>800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5E9-48C4-8EFE-9759DFA52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'8'!$B$5:$B$7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1-4226-AFDD-9CAC8ED210F8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'8'!$C$5:$C$7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51-4226-AFDD-9CAC8ED21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AF-4E1A-91A9-05B6A9D45D92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AF-4E1A-91A9-05B6A9D45D92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AF-4E1A-91A9-05B6A9D45D92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BAF-4E1A-91A9-05B6A9D45D92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AF-4E1A-91A9-05B6A9D45D92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BAF-4E1A-91A9-05B6A9D45D92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BAF-4E1A-91A9-05B6A9D45D92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BAF-4E1A-91A9-05B6A9D45D92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BAF-4E1A-91A9-05B6A9D45D92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BAF-4E1A-91A9-05B6A9D45D92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BAF-4E1A-91A9-05B6A9D45D92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BAF-4E1A-91A9-05B6A9D45D92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BAF-4E1A-91A9-05B6A9D45D92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BAF-4E1A-91A9-05B6A9D45D92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AF-4E1A-91A9-05B6A9D45D92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AF-4E1A-91A9-05B6A9D45D92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AF-4E1A-91A9-05B6A9D45D92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AF-4E1A-91A9-05B6A9D45D92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BAF-4E1A-91A9-05B6A9D45D92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AF-4E1A-91A9-05B6A9D45D92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BAF-4E1A-91A9-05B6A9D45D92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BAF-4E1A-91A9-05B6A9D45D92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BAF-4E1A-91A9-05B6A9D45D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BAF-4E1A-91A9-05B6A9D45D92}"/>
            </c:ext>
          </c:extLst>
        </c:ser>
        <c:ser>
          <c:idx val="1"/>
          <c:order val="1"/>
          <c:tx>
            <c:strRef>
              <c:f>'8'!$H$12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BAF-4E1A-91A9-05B6A9D45D92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BAF-4E1A-91A9-05B6A9D45D92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BAF-4E1A-91A9-05B6A9D45D92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BAF-4E1A-91A9-05B6A9D45D92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DBAF-4E1A-91A9-05B6A9D45D92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DBAF-4E1A-91A9-05B6A9D45D92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DBAF-4E1A-91A9-05B6A9D45D92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DBAF-4E1A-91A9-05B6A9D45D92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DBAF-4E1A-91A9-05B6A9D45D92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DBAF-4E1A-91A9-05B6A9D45D92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DBAF-4E1A-91A9-05B6A9D45D92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DBAF-4E1A-91A9-05B6A9D45D92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DBAF-4E1A-91A9-05B6A9D45D92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DBAF-4E1A-91A9-05B6A9D45D92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BAF-4E1A-91A9-05B6A9D45D92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BAF-4E1A-91A9-05B6A9D45D92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BAF-4E1A-91A9-05B6A9D45D92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BAF-4E1A-91A9-05B6A9D45D92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BAF-4E1A-91A9-05B6A9D45D92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BAF-4E1A-91A9-05B6A9D45D92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DBAF-4E1A-91A9-05B6A9D45D92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DBAF-4E1A-91A9-05B6A9D45D92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DBAF-4E1A-91A9-05B6A9D45D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300</c:v>
                </c:pt>
                <c:pt idx="2">
                  <c:v>250</c:v>
                </c:pt>
                <c:pt idx="3">
                  <c:v>749.5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DBAF-4E1A-91A9-05B6A9D45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5D-499A-B148-3A3A08D60DFB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5D-499A-B148-3A3A08D60DFB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5D-499A-B148-3A3A08D60DFB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D5D-499A-B148-3A3A08D60DFB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D5D-499A-B148-3A3A08D60DFB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D5D-499A-B148-3A3A08D60DFB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D5D-499A-B148-3A3A08D60DF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D5D-499A-B148-3A3A08D60DF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D5D-499A-B148-3A3A08D60DF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D5D-499A-B148-3A3A08D60DF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D5D-499A-B148-3A3A08D60DF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D5D-499A-B148-3A3A08D60DF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D5D-499A-B148-3A3A08D60DF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D5D-499A-B148-3A3A08D60DFB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5D-499A-B148-3A3A08D60DFB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5D-499A-B148-3A3A08D60DFB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5D-499A-B148-3A3A08D60DFB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D5D-499A-B148-3A3A08D60DFB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5D-499A-B148-3A3A08D60D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D5D-499A-B148-3A3A08D60DFB}"/>
            </c:ext>
          </c:extLst>
        </c:ser>
        <c:ser>
          <c:idx val="1"/>
          <c:order val="1"/>
          <c:tx>
            <c:strRef>
              <c:f>'8'!$C$12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D5D-499A-B148-3A3A08D60DFB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D5D-499A-B148-3A3A08D60DFB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D5D-499A-B148-3A3A08D60DFB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D5D-499A-B148-3A3A08D60DFB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4D5D-499A-B148-3A3A08D60DFB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4D5D-499A-B148-3A3A08D60DFB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4D5D-499A-B148-3A3A08D60DF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4D5D-499A-B148-3A3A08D60DF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4D5D-499A-B148-3A3A08D60DF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4D5D-499A-B148-3A3A08D60DF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4D5D-499A-B148-3A3A08D60DF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4D5D-499A-B148-3A3A08D60DF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4D5D-499A-B148-3A3A08D60DF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4D5D-499A-B148-3A3A08D60DFB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D5D-499A-B148-3A3A08D60DFB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D5D-499A-B148-3A3A08D60DFB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D5D-499A-B148-3A3A08D60DFB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D5D-499A-B148-3A3A08D60DFB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D5D-499A-B148-3A3A08D60DFB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D5D-499A-B148-3A3A08D60D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5D-499A-B148-3A3A08D60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'9'!$B$5:$B$7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4-41F5-9362-750C438F6005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'9'!$C$5:$C$7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04-41F5-9362-750C438F6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C3-4DC2-BE36-B7D47D8DBF4E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C3-4DC2-BE36-B7D47D8DBF4E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C3-4DC2-BE36-B7D47D8DBF4E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7C3-4DC2-BE36-B7D47D8DBF4E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7C3-4DC2-BE36-B7D47D8DBF4E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7C3-4DC2-BE36-B7D47D8DBF4E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7C3-4DC2-BE36-B7D47D8DBF4E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7C3-4DC2-BE36-B7D47D8DBF4E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7C3-4DC2-BE36-B7D47D8DBF4E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7C3-4DC2-BE36-B7D47D8DBF4E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7C3-4DC2-BE36-B7D47D8DBF4E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7C3-4DC2-BE36-B7D47D8DBF4E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7C3-4DC2-BE36-B7D47D8DBF4E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7C3-4DC2-BE36-B7D47D8DBF4E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3-4DC2-BE36-B7D47D8DBF4E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3-4DC2-BE36-B7D47D8DBF4E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3-4DC2-BE36-B7D47D8DBF4E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3-4DC2-BE36-B7D47D8DBF4E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3-4DC2-BE36-B7D47D8DBF4E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C3-4DC2-BE36-B7D47D8DBF4E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7C3-4DC2-BE36-B7D47D8DBF4E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7C3-4DC2-BE36-B7D47D8DBF4E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7C3-4DC2-BE36-B7D47D8DBF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7C3-4DC2-BE36-B7D47D8DBF4E}"/>
            </c:ext>
          </c:extLst>
        </c:ser>
        <c:ser>
          <c:idx val="1"/>
          <c:order val="1"/>
          <c:tx>
            <c:strRef>
              <c:f>'9'!$H$12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B7C3-4DC2-BE36-B7D47D8DBF4E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B7C3-4DC2-BE36-B7D47D8DBF4E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B7C3-4DC2-BE36-B7D47D8DBF4E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B7C3-4DC2-BE36-B7D47D8DBF4E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B7C3-4DC2-BE36-B7D47D8DBF4E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B7C3-4DC2-BE36-B7D47D8DBF4E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B7C3-4DC2-BE36-B7D47D8DBF4E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B7C3-4DC2-BE36-B7D47D8DBF4E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B7C3-4DC2-BE36-B7D47D8DBF4E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B7C3-4DC2-BE36-B7D47D8DBF4E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B7C3-4DC2-BE36-B7D47D8DBF4E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B7C3-4DC2-BE36-B7D47D8DBF4E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B7C3-4DC2-BE36-B7D47D8DBF4E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B7C3-4DC2-BE36-B7D47D8DBF4E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7C3-4DC2-BE36-B7D47D8DBF4E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7C3-4DC2-BE36-B7D47D8DBF4E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7C3-4DC2-BE36-B7D47D8DBF4E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7C3-4DC2-BE36-B7D47D8DBF4E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7C3-4DC2-BE36-B7D47D8DBF4E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7C3-4DC2-BE36-B7D47D8DBF4E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B7C3-4DC2-BE36-B7D47D8DBF4E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B7C3-4DC2-BE36-B7D47D8DBF4E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B7C3-4DC2-BE36-B7D47D8DBF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20</c:v>
                </c:pt>
                <c:pt idx="3">
                  <c:v>538.5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7C3-4DC2-BE36-B7D47D8DB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C9-41B5-8E25-431961FF91A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C9-41B5-8E25-431961FF91A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C9-41B5-8E25-431961FF91A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CC9-41B5-8E25-431961FF91A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CC9-41B5-8E25-431961FF91A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CC9-41B5-8E25-431961FF91A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CC9-41B5-8E25-431961FF91A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CC9-41B5-8E25-431961FF91A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CC9-41B5-8E25-431961FF91A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CC9-41B5-8E25-431961FF91A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CC9-41B5-8E25-431961FF91A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CC9-41B5-8E25-431961FF91A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CC9-41B5-8E25-431961FF91A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CC9-41B5-8E25-431961FF91A3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C9-41B5-8E25-431961FF91A3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CC9-41B5-8E25-431961FF91A3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C9-41B5-8E25-431961FF91A3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CC9-41B5-8E25-431961FF91A3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C9-41B5-8E25-431961FF91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CC9-41B5-8E25-431961FF91A3}"/>
            </c:ext>
          </c:extLst>
        </c:ser>
        <c:ser>
          <c:idx val="1"/>
          <c:order val="1"/>
          <c:tx>
            <c:strRef>
              <c:f>'9'!$C$12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CC9-41B5-8E25-431961FF91A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CC9-41B5-8E25-431961FF91A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CC9-41B5-8E25-431961FF91A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CC9-41B5-8E25-431961FF91A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8CC9-41B5-8E25-431961FF91A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8CC9-41B5-8E25-431961FF91A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8CC9-41B5-8E25-431961FF91A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8CC9-41B5-8E25-431961FF91A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CC9-41B5-8E25-431961FF91A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8CC9-41B5-8E25-431961FF91A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8CC9-41B5-8E25-431961FF91A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8CC9-41B5-8E25-431961FF91A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8CC9-41B5-8E25-431961FF91A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8CC9-41B5-8E25-431961FF91A3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CC9-41B5-8E25-431961FF91A3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CC9-41B5-8E25-431961FF91A3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CC9-41B5-8E25-431961FF91A3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CC9-41B5-8E25-431961FF91A3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CC9-41B5-8E25-431961FF91A3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CC9-41B5-8E25-431961FF91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CC9-41B5-8E25-431961FF9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'10'!$B$5:$B$7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65-4678-9E7D-B6E403244972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'10'!$C$5:$C$7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65-4678-9E7D-B6E403244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D5-450C-8B9E-A1ED14B3CC2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D5-450C-8B9E-A1ED14B3CC2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D5-450C-8B9E-A1ED14B3CC2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0D5-450C-8B9E-A1ED14B3CC2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0D5-450C-8B9E-A1ED14B3CC2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0D5-450C-8B9E-A1ED14B3CC2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0D5-450C-8B9E-A1ED14B3CC2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0D5-450C-8B9E-A1ED14B3CC2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0D5-450C-8B9E-A1ED14B3CC2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0D5-450C-8B9E-A1ED14B3CC2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0D5-450C-8B9E-A1ED14B3CC2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0D5-450C-8B9E-A1ED14B3CC2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0D5-450C-8B9E-A1ED14B3CC2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0D5-450C-8B9E-A1ED14B3CC29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D5-450C-8B9E-A1ED14B3CC29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D5-450C-8B9E-A1ED14B3CC29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D5-450C-8B9E-A1ED14B3CC29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D5-450C-8B9E-A1ED14B3CC29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0D5-450C-8B9E-A1ED14B3CC29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D5-450C-8B9E-A1ED14B3CC29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0D5-450C-8B9E-A1ED14B3CC29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0D5-450C-8B9E-A1ED14B3CC29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0D5-450C-8B9E-A1ED14B3CC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0D5-450C-8B9E-A1ED14B3CC29}"/>
            </c:ext>
          </c:extLst>
        </c:ser>
        <c:ser>
          <c:idx val="1"/>
          <c:order val="1"/>
          <c:tx>
            <c:strRef>
              <c:f>'10'!$H$12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0D5-450C-8B9E-A1ED14B3CC2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0D5-450C-8B9E-A1ED14B3CC2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0D5-450C-8B9E-A1ED14B3CC2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0D5-450C-8B9E-A1ED14B3CC2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0D5-450C-8B9E-A1ED14B3CC2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0D5-450C-8B9E-A1ED14B3CC2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0D5-450C-8B9E-A1ED14B3CC2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0D5-450C-8B9E-A1ED14B3CC2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0D5-450C-8B9E-A1ED14B3CC2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0D5-450C-8B9E-A1ED14B3CC2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0D5-450C-8B9E-A1ED14B3CC2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0D5-450C-8B9E-A1ED14B3CC2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0D5-450C-8B9E-A1ED14B3CC2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0D5-450C-8B9E-A1ED14B3CC29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0D5-450C-8B9E-A1ED14B3CC29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0D5-450C-8B9E-A1ED14B3CC29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0D5-450C-8B9E-A1ED14B3CC29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0D5-450C-8B9E-A1ED14B3CC29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0D5-450C-8B9E-A1ED14B3CC29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0D5-450C-8B9E-A1ED14B3CC29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0D5-450C-8B9E-A1ED14B3CC29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0D5-450C-8B9E-A1ED14B3CC29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0D5-450C-8B9E-A1ED14B3CC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40</c:v>
                </c:pt>
                <c:pt idx="3">
                  <c:v>600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0D5-450C-8B9E-A1ED14B3C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15-4F7E-94D0-5FA844734D56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15-4F7E-94D0-5FA844734D56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15-4F7E-94D0-5FA844734D56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15-4F7E-94D0-5FA844734D56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15-4F7E-94D0-5FA844734D56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815-4F7E-94D0-5FA844734D56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815-4F7E-94D0-5FA844734D56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815-4F7E-94D0-5FA844734D56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815-4F7E-94D0-5FA844734D56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815-4F7E-94D0-5FA844734D56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815-4F7E-94D0-5FA844734D56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815-4F7E-94D0-5FA844734D56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815-4F7E-94D0-5FA844734D56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815-4F7E-94D0-5FA844734D56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15-4F7E-94D0-5FA844734D56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15-4F7E-94D0-5FA844734D56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15-4F7E-94D0-5FA844734D56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815-4F7E-94D0-5FA844734D56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15-4F7E-94D0-5FA844734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815-4F7E-94D0-5FA844734D56}"/>
            </c:ext>
          </c:extLst>
        </c:ser>
        <c:ser>
          <c:idx val="1"/>
          <c:order val="1"/>
          <c:tx>
            <c:strRef>
              <c:f>'10'!$C$12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815-4F7E-94D0-5FA844734D56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815-4F7E-94D0-5FA844734D56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815-4F7E-94D0-5FA844734D56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815-4F7E-94D0-5FA844734D56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4815-4F7E-94D0-5FA844734D56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4815-4F7E-94D0-5FA844734D56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4815-4F7E-94D0-5FA844734D56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4815-4F7E-94D0-5FA844734D56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4815-4F7E-94D0-5FA844734D56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4815-4F7E-94D0-5FA844734D56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4815-4F7E-94D0-5FA844734D56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4815-4F7E-94D0-5FA844734D56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4815-4F7E-94D0-5FA844734D56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4815-4F7E-94D0-5FA844734D56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815-4F7E-94D0-5FA844734D56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815-4F7E-94D0-5FA844734D56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815-4F7E-94D0-5FA844734D56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815-4F7E-94D0-5FA844734D56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815-4F7E-94D0-5FA844734D56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815-4F7E-94D0-5FA844734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815-4F7E-94D0-5FA844734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'11'!$B$5:$B$7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2-4782-90C4-6F1559DAFBC6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'11'!$C$5:$C$7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2-4782-90C4-6F1559DAF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FB-4F05-83EA-3AB160BB15FF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FB-4F05-83EA-3AB160BB15FF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9FB-4F05-83EA-3AB160BB15FF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FB-4F05-83EA-3AB160BB15FF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9FB-4F05-83EA-3AB160BB15FF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9FB-4F05-83EA-3AB160BB15FF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9FB-4F05-83EA-3AB160BB15FF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9FB-4F05-83EA-3AB160BB15FF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9FB-4F05-83EA-3AB160BB15FF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9FB-4F05-83EA-3AB160BB15FF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9FB-4F05-83EA-3AB160BB15FF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9FB-4F05-83EA-3AB160BB15FF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9FB-4F05-83EA-3AB160BB15FF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9FB-4F05-83EA-3AB160BB15FF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9FB-4F05-83EA-3AB160BB15FF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FB-4F05-83EA-3AB160BB15FF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9FB-4F05-83EA-3AB160BB15FF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FB-4F05-83EA-3AB160BB15FF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9FB-4F05-83EA-3AB160BB15FF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FB-4F05-83EA-3AB160BB15FF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9FB-4F05-83EA-3AB160BB15FF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9FB-4F05-83EA-3AB160BB15FF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9FB-4F05-83EA-3AB160BB15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9FB-4F05-83EA-3AB160BB15FF}"/>
            </c:ext>
          </c:extLst>
        </c:ser>
        <c:ser>
          <c:idx val="1"/>
          <c:order val="1"/>
          <c:tx>
            <c:strRef>
              <c:f>'11'!$H$12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B9FB-4F05-83EA-3AB160BB15FF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B9FB-4F05-83EA-3AB160BB15FF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B9FB-4F05-83EA-3AB160BB15FF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B9FB-4F05-83EA-3AB160BB15FF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B9FB-4F05-83EA-3AB160BB15FF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B9FB-4F05-83EA-3AB160BB15FF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B9FB-4F05-83EA-3AB160BB15FF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B9FB-4F05-83EA-3AB160BB15FF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B9FB-4F05-83EA-3AB160BB15FF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B9FB-4F05-83EA-3AB160BB15FF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B9FB-4F05-83EA-3AB160BB15FF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B9FB-4F05-83EA-3AB160BB15FF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B9FB-4F05-83EA-3AB160BB15FF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B9FB-4F05-83EA-3AB160BB15FF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9FB-4F05-83EA-3AB160BB15FF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9FB-4F05-83EA-3AB160BB15FF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9FB-4F05-83EA-3AB160BB15FF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9FB-4F05-83EA-3AB160BB15FF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9FB-4F05-83EA-3AB160BB15FF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9FB-4F05-83EA-3AB160BB15FF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B9FB-4F05-83EA-3AB160BB15FF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B9FB-4F05-83EA-3AB160BB15FF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B9FB-4F05-83EA-3AB160BB15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158</c:v>
                </c:pt>
                <c:pt idx="2">
                  <c:v>214</c:v>
                </c:pt>
                <c:pt idx="3">
                  <c:v>506</c:v>
                </c:pt>
                <c:pt idx="4">
                  <c:v>133</c:v>
                </c:pt>
                <c:pt idx="5">
                  <c:v>47</c:v>
                </c:pt>
                <c:pt idx="6">
                  <c:v>234</c:v>
                </c:pt>
                <c:pt idx="7">
                  <c:v>0</c:v>
                </c:pt>
                <c:pt idx="8">
                  <c:v>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9FB-4F05-83EA-3AB160BB1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70-4EFB-A3B3-FAA86D9AF1B6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B70-4EFB-A3B3-FAA86D9AF1B6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B70-4EFB-A3B3-FAA86D9AF1B6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B70-4EFB-A3B3-FAA86D9AF1B6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B70-4EFB-A3B3-FAA86D9AF1B6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B70-4EFB-A3B3-FAA86D9AF1B6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B70-4EFB-A3B3-FAA86D9AF1B6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B70-4EFB-A3B3-FAA86D9AF1B6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B70-4EFB-A3B3-FAA86D9AF1B6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B70-4EFB-A3B3-FAA86D9AF1B6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B70-4EFB-A3B3-FAA86D9AF1B6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B70-4EFB-A3B3-FAA86D9AF1B6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B70-4EFB-A3B3-FAA86D9AF1B6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B70-4EFB-A3B3-FAA86D9AF1B6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70-4EFB-A3B3-FAA86D9AF1B6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70-4EFB-A3B3-FAA86D9AF1B6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70-4EFB-A3B3-FAA86D9AF1B6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B70-4EFB-A3B3-FAA86D9AF1B6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70-4EFB-A3B3-FAA86D9AF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B70-4EFB-A3B3-FAA86D9AF1B6}"/>
            </c:ext>
          </c:extLst>
        </c:ser>
        <c:ser>
          <c:idx val="1"/>
          <c:order val="1"/>
          <c:tx>
            <c:strRef>
              <c:f>'11'!$C$12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B70-4EFB-A3B3-FAA86D9AF1B6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B70-4EFB-A3B3-FAA86D9AF1B6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B70-4EFB-A3B3-FAA86D9AF1B6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B70-4EFB-A3B3-FAA86D9AF1B6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B70-4EFB-A3B3-FAA86D9AF1B6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B70-4EFB-A3B3-FAA86D9AF1B6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B70-4EFB-A3B3-FAA86D9AF1B6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B70-4EFB-A3B3-FAA86D9AF1B6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B70-4EFB-A3B3-FAA86D9AF1B6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B70-4EFB-A3B3-FAA86D9AF1B6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B70-4EFB-A3B3-FAA86D9AF1B6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B70-4EFB-A3B3-FAA86D9AF1B6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B70-4EFB-A3B3-FAA86D9AF1B6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B70-4EFB-A3B3-FAA86D9AF1B6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0-4EFB-A3B3-FAA86D9AF1B6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0-4EFB-A3B3-FAA86D9AF1B6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0-4EFB-A3B3-FAA86D9AF1B6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B70-4EFB-A3B3-FAA86D9AF1B6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B70-4EFB-A3B3-FAA86D9AF1B6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B70-4EFB-A3B3-FAA86D9AF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B70-4EFB-A3B3-FAA86D9AF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'12'!$B$5:$B$7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3-46D7-A802-ADD5BD16DA49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'12'!$C$5:$C$7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53-46D7-A802-ADD5BD16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D7-4730-9461-15FF9CC6ECA5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D7-4730-9461-15FF9CC6ECA5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D7-4730-9461-15FF9CC6ECA5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FD7-4730-9461-15FF9CC6ECA5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FD7-4730-9461-15FF9CC6ECA5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FD7-4730-9461-15FF9CC6ECA5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FD7-4730-9461-15FF9CC6ECA5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FD7-4730-9461-15FF9CC6ECA5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FD7-4730-9461-15FF9CC6ECA5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FD7-4730-9461-15FF9CC6ECA5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FD7-4730-9461-15FF9CC6ECA5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FD7-4730-9461-15FF9CC6ECA5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FD7-4730-9461-15FF9CC6ECA5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FD7-4730-9461-15FF9CC6ECA5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D7-4730-9461-15FF9CC6ECA5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D7-4730-9461-15FF9CC6ECA5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D7-4730-9461-15FF9CC6ECA5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D7-4730-9461-15FF9CC6ECA5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D7-4730-9461-15FF9CC6ECA5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D7-4730-9461-15FF9CC6ECA5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FD7-4730-9461-15FF9CC6ECA5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FD7-4730-9461-15FF9CC6ECA5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FD7-4730-9461-15FF9CC6E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FD7-4730-9461-15FF9CC6ECA5}"/>
            </c:ext>
          </c:extLst>
        </c:ser>
        <c:ser>
          <c:idx val="1"/>
          <c:order val="1"/>
          <c:tx>
            <c:strRef>
              <c:f>'12'!$H$12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AFD7-4730-9461-15FF9CC6ECA5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AFD7-4730-9461-15FF9CC6ECA5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AFD7-4730-9461-15FF9CC6ECA5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AFD7-4730-9461-15FF9CC6ECA5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AFD7-4730-9461-15FF9CC6ECA5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AFD7-4730-9461-15FF9CC6ECA5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AFD7-4730-9461-15FF9CC6ECA5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AFD7-4730-9461-15FF9CC6ECA5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AFD7-4730-9461-15FF9CC6ECA5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AFD7-4730-9461-15FF9CC6ECA5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AFD7-4730-9461-15FF9CC6ECA5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AFD7-4730-9461-15FF9CC6ECA5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AFD7-4730-9461-15FF9CC6ECA5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AFD7-4730-9461-15FF9CC6ECA5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FD7-4730-9461-15FF9CC6ECA5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FD7-4730-9461-15FF9CC6ECA5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FD7-4730-9461-15FF9CC6ECA5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FD7-4730-9461-15FF9CC6ECA5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FD7-4730-9461-15FF9CC6ECA5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FD7-4730-9461-15FF9CC6ECA5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FD7-4730-9461-15FF9CC6ECA5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FD7-4730-9461-15FF9CC6ECA5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FD7-4730-9461-15FF9CC6E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120</c:v>
                </c:pt>
                <c:pt idx="2">
                  <c:v>450</c:v>
                </c:pt>
                <c:pt idx="3">
                  <c:v>700</c:v>
                </c:pt>
                <c:pt idx="4">
                  <c:v>10</c:v>
                </c:pt>
                <c:pt idx="5">
                  <c:v>0</c:v>
                </c:pt>
                <c:pt idx="6">
                  <c:v>700</c:v>
                </c:pt>
                <c:pt idx="7">
                  <c:v>100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FD7-4730-9461-15FF9CC6E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7B-48EA-86EC-5165D4E1B629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7B-48EA-86EC-5165D4E1B629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07B-48EA-86EC-5165D4E1B629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07B-48EA-86EC-5165D4E1B629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07B-48EA-86EC-5165D4E1B629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07B-48EA-86EC-5165D4E1B629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07B-48EA-86EC-5165D4E1B629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07B-48EA-86EC-5165D4E1B629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07B-48EA-86EC-5165D4E1B629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07B-48EA-86EC-5165D4E1B629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07B-48EA-86EC-5165D4E1B629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07B-48EA-86EC-5165D4E1B629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07B-48EA-86EC-5165D4E1B629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07B-48EA-86EC-5165D4E1B629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B-48EA-86EC-5165D4E1B629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07B-48EA-86EC-5165D4E1B629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7B-48EA-86EC-5165D4E1B629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07B-48EA-86EC-5165D4E1B629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7B-48EA-86EC-5165D4E1B6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07B-48EA-86EC-5165D4E1B629}"/>
            </c:ext>
          </c:extLst>
        </c:ser>
        <c:ser>
          <c:idx val="1"/>
          <c:order val="1"/>
          <c:tx>
            <c:strRef>
              <c:f>'12'!$C$12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07B-48EA-86EC-5165D4E1B629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07B-48EA-86EC-5165D4E1B629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07B-48EA-86EC-5165D4E1B629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07B-48EA-86EC-5165D4E1B629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C07B-48EA-86EC-5165D4E1B629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C07B-48EA-86EC-5165D4E1B629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C07B-48EA-86EC-5165D4E1B629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C07B-48EA-86EC-5165D4E1B629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C07B-48EA-86EC-5165D4E1B629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C07B-48EA-86EC-5165D4E1B629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C07B-48EA-86EC-5165D4E1B629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C07B-48EA-86EC-5165D4E1B629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C07B-48EA-86EC-5165D4E1B629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C07B-48EA-86EC-5165D4E1B629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07B-48EA-86EC-5165D4E1B629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07B-48EA-86EC-5165D4E1B629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07B-48EA-86EC-5165D4E1B629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07B-48EA-86EC-5165D4E1B629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07B-48EA-86EC-5165D4E1B629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07B-48EA-86EC-5165D4E1B6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07B-48EA-86EC-5165D4E1B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CFFB7E-72CF-9596-91B4-1FEE542AA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4E7FF8-D947-5E58-4493-5E3C63930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0693CB-CFBE-3001-F2D6-4A2119F964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6D9A36-5707-4980-8640-C3C6348E2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A60A1F-295B-4915-951A-F3AA45D047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166550-5297-46C3-A2AE-7300D2D0CD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66F69F-D87A-46CB-9B1A-624BBBB81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AABB55-DC44-4DF7-99E9-F7955786DE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19B506-87C2-4BCC-90A2-ABC4A5FEC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96E294-D835-4DB5-8B22-B3CD21AE7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C8BECC-ECFB-42EB-BF73-BE659D088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2E5D11-D32B-485E-A456-1F0FC1356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F42A0F-9B52-4080-9475-EF024679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20B502-487E-4B24-B887-C6962759B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305766-2DF7-4F29-AE5A-F27DF6E38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DAC400-A6D1-496D-B7CE-4EB04625F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AC62A9-B50C-4835-BD63-A2DA2BD31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80349-1D2A-4DB7-9278-936BF1F33F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DDAAE0-F210-4A9A-8155-DE9791C58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6EBEEA-33C8-4E80-8D39-25E55FF7C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96BB3A-C07B-4949-AF15-B4C05C3DD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006312-F98F-4E17-A70F-E2A1576024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8F8F72-324F-426F-A9FE-2BBFE03B5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93013D-0476-4521-9F37-BACE003CA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5C6017-2265-48A5-9896-6394D09A6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DAE14D-1312-4524-A48E-9783D074B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F36E01A-0ECD-412D-8D25-6F0421488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D252CF-CF7C-4201-A459-958374BE7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2DCF1-BEDE-439D-9A26-7F6F635F9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95D872-7291-4CF4-8317-3125F071F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E2827B-B020-41EE-AC0D-389D6A4DC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D7E263-C92D-4DE3-9C03-0E44642A4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D89909-D707-44AB-B1A3-BA7200C45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6436FD-417A-496B-875F-01E6B1C9A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0D6840-349E-4731-BC69-A19DFCEA5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CAD77F-D056-4011-999C-F2EB1D4F0C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B9FDA8-428F-476D-9993-DDB17573CCE8}" name="Income_1" displayName="Income_1" ref="A12:D27" totalsRowCount="1" headerRowDxfId="779" totalsRowDxfId="776" headerRowBorderDxfId="778" tableBorderDxfId="777" totalsRowBorderDxfId="775">
  <autoFilter ref="A12:D26" xr:uid="{93B9FDA8-428F-476D-9993-DDB17573CCE8}"/>
  <tableColumns count="4">
    <tableColumn id="1" xr3:uid="{47963C17-678E-425A-8D4A-D2FE3D6E7226}" name="Source" totalsRowLabel="Total" dataDxfId="774" totalsRowDxfId="773"/>
    <tableColumn id="2" xr3:uid="{3C63B028-A6DC-4F52-8475-8BC80F99EB1C}" name="Planned" totalsRowFunction="custom" dataDxfId="772" totalsRowDxfId="771">
      <totalsRowFormula>SUM(B13:B26)</totalsRowFormula>
    </tableColumn>
    <tableColumn id="3" xr3:uid="{585C65ED-789D-4AA6-84C8-FC72116AAD6D}" name="Actual" totalsRowFunction="custom" dataDxfId="770" totalsRowDxfId="769">
      <totalsRowFormula>SUM(Income_1[Actual])</totalsRowFormula>
    </tableColumn>
    <tableColumn id="4" xr3:uid="{894C6C1B-7E82-4BDA-B915-F19F691706F1}" name="Left" totalsRowFunction="sum" dataDxfId="768" totalsRowDxfId="767"/>
  </tableColumns>
  <tableStyleInfo name="Table Style Min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A8353D-9D5D-42AC-A175-10AA233D4CCC}" name="Expenses_1" displayName="Expenses_1" ref="F12:I27" totalsRowCount="1" headerRowDxfId="766" totalsRowDxfId="763" headerRowBorderDxfId="765" tableBorderDxfId="764" totalsRowBorderDxfId="762">
  <autoFilter ref="F12:I26" xr:uid="{24A8353D-9D5D-42AC-A175-10AA233D4CCC}"/>
  <tableColumns count="4">
    <tableColumn id="1" xr3:uid="{F0018E1B-25DC-44BE-BA1D-A7095A040E13}" name="Category" totalsRowLabel="Total" dataDxfId="761" totalsRowDxfId="760"/>
    <tableColumn id="2" xr3:uid="{3C235523-D986-48AE-9CD3-9E36C86B2839}" name="Planned" totalsRowFunction="custom" dataDxfId="759" totalsRowDxfId="758" dataCellStyle="Currency">
      <totalsRowFormula>SUM(G13:G26)</totalsRowFormula>
    </tableColumn>
    <tableColumn id="3" xr3:uid="{AD2EEE4E-3835-4B34-8A96-E7D2653ADBA2}" name="Actual" totalsRowFunction="custom" dataDxfId="757" totalsRowDxfId="756" dataCellStyle="Currency">
      <totalsRowFormula>SUM(H13:H26)</totalsRowFormula>
    </tableColumn>
    <tableColumn id="4" xr3:uid="{8ABC1D3D-43BA-4F9B-981A-0FA0EE02CE50}" name="Left" totalsRowFunction="sum" dataDxfId="755" totalsRowDxfId="754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5C5F31-13A9-4CEA-9193-37475751E1DB}" name="Bills_1" displayName="Bills_1" ref="K12:N27" totalsRowCount="1" headerRowDxfId="753" totalsRowDxfId="750" headerRowBorderDxfId="752" tableBorderDxfId="751" totalsRowBorderDxfId="749">
  <autoFilter ref="K12:N26" xr:uid="{EB5C5F31-13A9-4CEA-9193-37475751E1DB}"/>
  <tableColumns count="4">
    <tableColumn id="1" xr3:uid="{974AB822-F1D7-4B32-882A-2EFFDCBD2EB4}" name="Bill" totalsRowLabel="Total" dataDxfId="748" totalsRowDxfId="747"/>
    <tableColumn id="2" xr3:uid="{1575EFDB-723D-4B63-81F2-B41C72839C5A}" name="Due" dataDxfId="746" totalsRowDxfId="745"/>
    <tableColumn id="3" xr3:uid="{BC90331A-648F-4944-B224-7A23A04D9C44}" name="Planned" totalsRowFunction="custom" dataDxfId="744" totalsRowDxfId="743" dataCellStyle="Currency">
      <totalsRowFormula>SUM(M13:M26)</totalsRowFormula>
    </tableColumn>
    <tableColumn id="4" xr3:uid="{820C1A9B-D61A-4153-9713-E99DFF4DF0C9}" name="Actual" totalsRowFunction="count" dataDxfId="742" totalsRowDxfId="741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7F0D9A-AB58-44A4-9409-811D7CF48231}" name="Subscriptions_1" displayName="Subscriptions_1" ref="P12:S27" totalsRowCount="1" headerRowDxfId="740" totalsRowDxfId="737" headerRowBorderDxfId="739" tableBorderDxfId="738" totalsRowBorderDxfId="736">
  <autoFilter ref="P12:S26" xr:uid="{0E7F0D9A-AB58-44A4-9409-811D7CF48231}"/>
  <tableColumns count="4">
    <tableColumn id="1" xr3:uid="{E7C3C493-1D35-494E-8780-064E76CA215A}" name="Service" totalsRowLabel="Total" dataDxfId="735" totalsRowDxfId="734"/>
    <tableColumn id="2" xr3:uid="{B808D1D5-EB2E-4C46-9F05-307A3089A0EB}" name="Due" dataDxfId="733" totalsRowDxfId="732"/>
    <tableColumn id="3" xr3:uid="{970C713E-06E0-47FF-96E6-E3CF2E914BBC}" name="Planned" totalsRowFunction="custom" dataDxfId="731" totalsRowDxfId="730">
      <totalsRowFormula>SUM(R13:R26)</totalsRowFormula>
    </tableColumn>
    <tableColumn id="4" xr3:uid="{F190011F-4908-4132-8EC4-6494253264FA}" name="Actual" totalsRowFunction="count" dataDxfId="729" totalsRowDxfId="7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F81A8-B423-4B5B-B86F-3F525C6B18A9}" name="Savings_1" displayName="Savings_1" ref="U12:X27" totalsRowCount="1" headerRowDxfId="727" totalsRowDxfId="724" headerRowBorderDxfId="726" tableBorderDxfId="725" totalsRowBorderDxfId="723">
  <autoFilter ref="U12:X26" xr:uid="{B4BF81A8-B423-4B5B-B86F-3F525C6B18A9}"/>
  <tableColumns count="4">
    <tableColumn id="1" xr3:uid="{2CF9D6BD-DDC0-49CA-A5EA-61E3721B6E5E}" name="Aim" totalsRowLabel="Total" dataDxfId="722" totalsRowDxfId="721"/>
    <tableColumn id="2" xr3:uid="{D196274E-04BA-4C40-9CB9-845488706B69}" name="Planned" totalsRowFunction="custom" dataDxfId="720" totalsRowDxfId="719">
      <totalsRowFormula>SUM(V13:V26)</totalsRowFormula>
    </tableColumn>
    <tableColumn id="3" xr3:uid="{BCD8925A-A2B2-47A6-A8D8-57B4DBA32F92}" name="Actual" totalsRowFunction="sum" dataDxfId="718" totalsRowDxfId="717"/>
    <tableColumn id="4" xr3:uid="{B2F711D2-4F5D-447B-81E8-1FBAB0FC774A}" name="Left" totalsRowFunction="custom" dataDxfId="716" totalsRowDxfId="715">
      <calculatedColumnFormula>Savings_1[[#This Row],[Planned]]-Savings_1[[#This Row],[Actual]]</calculatedColumnFormula>
      <totalsRowFormula>SUM(Savings_1[Left])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7084B05-B190-4E6B-9D78-22C6F6B2FE06}" name="Income_2" displayName="Income_2" ref="A12:D27" totalsRowCount="1" headerRowDxfId="714" totalsRowDxfId="713" headerRowBorderDxfId="711" tableBorderDxfId="712" totalsRowBorderDxfId="710">
  <autoFilter ref="A12:D26" xr:uid="{93B9FDA8-428F-476D-9993-DDB17573CCE8}"/>
  <tableColumns count="4">
    <tableColumn id="1" xr3:uid="{0357ED9B-9BB5-4BEB-A463-73B62A8829F8}" name="Source" totalsRowLabel="Total" dataDxfId="708" totalsRowDxfId="709"/>
    <tableColumn id="2" xr3:uid="{D680BA6D-669D-412D-A3C0-32E036217F74}" name="Planned" totalsRowFunction="custom" dataDxfId="706" totalsRowDxfId="707">
      <totalsRowFormula>SUM(B13:B26)</totalsRowFormula>
    </tableColumn>
    <tableColumn id="3" xr3:uid="{F37221F0-0CCC-4409-A7E2-BAC2804C7DCE}" name="Actual" totalsRowFunction="custom" dataDxfId="704" totalsRowDxfId="705">
      <totalsRowFormula>SUM(Income_2[Actual])</totalsRowFormula>
    </tableColumn>
    <tableColumn id="4" xr3:uid="{3A70D0F4-8275-4A7A-8586-594679751FB9}" name="Left" totalsRowFunction="sum" dataDxfId="702" totalsRowDxfId="703"/>
  </tableColumns>
  <tableStyleInfo name="Table Style Min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1B2440C-9757-4463-A505-6C81D1CF8A61}" name="Expenses_2" displayName="Expenses_2" ref="F12:I27" totalsRowCount="1" headerRowDxfId="701" totalsRowDxfId="700" headerRowBorderDxfId="698" tableBorderDxfId="699" totalsRowBorderDxfId="697">
  <autoFilter ref="F12:I26" xr:uid="{24A8353D-9D5D-42AC-A175-10AA233D4CCC}"/>
  <tableColumns count="4">
    <tableColumn id="1" xr3:uid="{59DF5927-F956-4F0B-9898-ADB3B200C24B}" name="Category" totalsRowLabel="Total" dataDxfId="695" totalsRowDxfId="696"/>
    <tableColumn id="2" xr3:uid="{9CDD71F0-1920-4ECF-8FD1-E8C08EA3F803}" name="Planned" totalsRowFunction="custom" dataDxfId="693" totalsRowDxfId="694" dataCellStyle="Currency">
      <totalsRowFormula>SUM(G13:G26)</totalsRowFormula>
    </tableColumn>
    <tableColumn id="3" xr3:uid="{32149609-E3B1-41C9-9886-EC5DA5350B62}" name="Actual" totalsRowFunction="custom" dataDxfId="691" totalsRowDxfId="692" dataCellStyle="Currency">
      <totalsRowFormula>SUM(H13:H26)</totalsRowFormula>
    </tableColumn>
    <tableColumn id="4" xr3:uid="{3EC9D0B8-9E97-465D-A60C-B99DDB15F8D2}" name="Left" totalsRowFunction="sum" dataDxfId="689" totalsRowDxfId="690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0D4BCE8-F58A-46A4-8A39-0C4118A9800D}" name="Bills_2" displayName="Bills_2" ref="K12:N27" totalsRowCount="1" headerRowDxfId="688" totalsRowDxfId="687" headerRowBorderDxfId="685" tableBorderDxfId="686" totalsRowBorderDxfId="684">
  <autoFilter ref="K12:N26" xr:uid="{EB5C5F31-13A9-4CEA-9193-37475751E1DB}"/>
  <tableColumns count="4">
    <tableColumn id="1" xr3:uid="{19F7C74D-5B54-4704-AB2A-C424999B865D}" name="Bill" totalsRowLabel="Total" dataDxfId="682" totalsRowDxfId="683"/>
    <tableColumn id="2" xr3:uid="{30BB9573-FEC1-47E8-920B-7E376C25F2EE}" name="Due" dataDxfId="680" totalsRowDxfId="681"/>
    <tableColumn id="3" xr3:uid="{0B27C5BE-8A9D-49D5-AACA-0944861BFEA4}" name="Planned" totalsRowFunction="custom" dataDxfId="678" totalsRowDxfId="679" dataCellStyle="Currency">
      <totalsRowFormula>SUM(M13:M26)</totalsRowFormula>
    </tableColumn>
    <tableColumn id="4" xr3:uid="{8C88AC23-2F99-43AB-A310-FE4F42F0DC62}" name="Actual" totalsRowFunction="count" dataDxfId="676" totalsRowDxfId="677" dataCellStyle="Currenc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3254E6-FA9B-4632-B073-921C4E99951E}" name="Subscriptions_2" displayName="Subscriptions_2" ref="P12:S27" totalsRowCount="1" headerRowDxfId="675" totalsRowDxfId="674" headerRowBorderDxfId="672" tableBorderDxfId="673" totalsRowBorderDxfId="671">
  <autoFilter ref="P12:S26" xr:uid="{0E7F0D9A-AB58-44A4-9409-811D7CF48231}"/>
  <tableColumns count="4">
    <tableColumn id="1" xr3:uid="{46E685E4-44D7-4C19-BDD6-5C91F2460DA9}" name="Service" totalsRowLabel="Total" dataDxfId="669" totalsRowDxfId="670"/>
    <tableColumn id="2" xr3:uid="{2549C960-EE1C-44C1-800C-D7E516BD4C85}" name="Due" dataDxfId="667" totalsRowDxfId="668"/>
    <tableColumn id="3" xr3:uid="{81DFC91F-1374-4212-ABE7-2762BF1F5569}" name="Planned" totalsRowFunction="custom" dataDxfId="665" totalsRowDxfId="666">
      <totalsRowFormula>SUM(R13:R26)</totalsRowFormula>
    </tableColumn>
    <tableColumn id="4" xr3:uid="{086237FA-88B0-47A0-BCE5-98E289B1C27B}" name="Actual" totalsRowFunction="count" dataDxfId="663" totalsRowDxfId="66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1C523BA-84D3-444B-BF09-C74B13F157BE}" name="Savings_2" displayName="Savings_2" ref="U12:X27" totalsRowCount="1" headerRowDxfId="662" totalsRowDxfId="661" headerRowBorderDxfId="659" tableBorderDxfId="660" totalsRowBorderDxfId="658">
  <autoFilter ref="U12:X26" xr:uid="{B4BF81A8-B423-4B5B-B86F-3F525C6B18A9}"/>
  <tableColumns count="4">
    <tableColumn id="1" xr3:uid="{ABAE7B7E-5184-4F39-8BEE-0D39CE0310A7}" name="Aim" totalsRowLabel="Total" dataDxfId="656" totalsRowDxfId="657"/>
    <tableColumn id="2" xr3:uid="{69F01579-C6C5-4C26-A394-82145203418D}" name="Planned" totalsRowFunction="custom" dataDxfId="654" totalsRowDxfId="655">
      <totalsRowFormula>SUM(V13:V26)</totalsRowFormula>
    </tableColumn>
    <tableColumn id="3" xr3:uid="{DBC04DED-B86D-4978-8626-FF4DA2BCDE03}" name="Actual" totalsRowFunction="sum" dataDxfId="652" totalsRowDxfId="653"/>
    <tableColumn id="4" xr3:uid="{7F0C3357-0360-4145-9C38-3C64A773D764}" name="Left" totalsRowFunction="custom" dataDxfId="650" totalsRowDxfId="651">
      <calculatedColumnFormula>Savings_2[[#This Row],[Planned]]-Savings_2[[#This Row],[Actual]]</calculatedColumnFormula>
      <totalsRowFormula>SUM(Savings_2[Left])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2CAF96D-12C2-45B9-A44E-45AB4F37633B}" name="Income_3" displayName="Income_3" ref="A12:D27" totalsRowCount="1" headerRowDxfId="649" totalsRowDxfId="648" headerRowBorderDxfId="646" tableBorderDxfId="647" totalsRowBorderDxfId="645">
  <autoFilter ref="A12:D26" xr:uid="{93B9FDA8-428F-476D-9993-DDB17573CCE8}"/>
  <tableColumns count="4">
    <tableColumn id="1" xr3:uid="{DDF132E8-F36A-466C-9A30-D65E200107B9}" name="Source" totalsRowLabel="Total" dataDxfId="643" totalsRowDxfId="644"/>
    <tableColumn id="2" xr3:uid="{D80E8496-C8CB-4254-AB8B-CE50B777874E}" name="Planned" totalsRowFunction="custom" dataDxfId="641" totalsRowDxfId="642">
      <totalsRowFormula>SUM(B13:B26)</totalsRowFormula>
    </tableColumn>
    <tableColumn id="3" xr3:uid="{F6649BD4-B056-4B0E-9D35-BF04DF65ECCF}" name="Actual" totalsRowFunction="custom" dataDxfId="639" totalsRowDxfId="640">
      <totalsRowFormula>SUM(Income_3[Actual])</totalsRowFormula>
    </tableColumn>
    <tableColumn id="4" xr3:uid="{8A3FB8CE-D1A2-4D69-AC1E-2D6927D0B8CC}" name="Left" totalsRowFunction="sum" dataDxfId="637" totalsRowDxfId="638"/>
  </tableColumns>
  <tableStyleInfo name="Table Style Min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D480087-F511-49C6-B413-6AEE931F68C3}" name="Expenses_3" displayName="Expenses_3" ref="F12:I27" totalsRowCount="1" headerRowDxfId="636" totalsRowDxfId="635" headerRowBorderDxfId="633" tableBorderDxfId="634" totalsRowBorderDxfId="632">
  <autoFilter ref="F12:I26" xr:uid="{24A8353D-9D5D-42AC-A175-10AA233D4CCC}"/>
  <tableColumns count="4">
    <tableColumn id="1" xr3:uid="{BA70657F-91E6-4772-947F-2EECA360482B}" name="Category" totalsRowLabel="Total" dataDxfId="630" totalsRowDxfId="631"/>
    <tableColumn id="2" xr3:uid="{51ED545F-F45D-4AC2-9FB6-3E20E383F4B0}" name="Planned" totalsRowFunction="custom" dataDxfId="628" totalsRowDxfId="629" dataCellStyle="Currency">
      <totalsRowFormula>SUM(G13:G26)</totalsRowFormula>
    </tableColumn>
    <tableColumn id="3" xr3:uid="{12ABA268-C067-4D89-B00B-B5E0E726E246}" name="Actual" totalsRowFunction="custom" dataDxfId="626" totalsRowDxfId="627" dataCellStyle="Currency">
      <totalsRowFormula>SUM(H13:H26)</totalsRowFormula>
    </tableColumn>
    <tableColumn id="4" xr3:uid="{FCD7C734-A43A-47F1-8FD1-56BD23237540}" name="Left" totalsRowFunction="sum" dataDxfId="624" totalsRowDxfId="625" dataCellStyle="Currenc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B5C4DB3-9869-4055-8EAD-44EA3BBB062D}" name="Bills_3" displayName="Bills_3" ref="K12:N27" totalsRowCount="1" headerRowDxfId="623" totalsRowDxfId="622" headerRowBorderDxfId="620" tableBorderDxfId="621" totalsRowBorderDxfId="619">
  <autoFilter ref="K12:N26" xr:uid="{EB5C5F31-13A9-4CEA-9193-37475751E1DB}"/>
  <tableColumns count="4">
    <tableColumn id="1" xr3:uid="{3BB32B6B-ED34-4F0F-A787-0C13F12C536B}" name="Bill" totalsRowLabel="Total" dataDxfId="617" totalsRowDxfId="618"/>
    <tableColumn id="2" xr3:uid="{EAC37876-62C1-4F87-846B-22858A880B87}" name="Due" dataDxfId="615" totalsRowDxfId="616"/>
    <tableColumn id="3" xr3:uid="{B1FE891C-BD7A-4E95-A5CF-E8E668192586}" name="Planned" totalsRowFunction="custom" dataDxfId="613" totalsRowDxfId="614" dataCellStyle="Currency">
      <totalsRowFormula>SUM(M13:M26)</totalsRowFormula>
    </tableColumn>
    <tableColumn id="4" xr3:uid="{3B377772-C432-4F6A-A9EC-B8604BB450BB}" name="Actual" totalsRowFunction="count" dataDxfId="611" totalsRowDxfId="612" dataCellStyle="Currenc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334959E-2C30-4929-8B27-EC4DCEE492CF}" name="Subscriptions_3" displayName="Subscriptions_3" ref="P12:S27" totalsRowCount="1" headerRowDxfId="610" totalsRowDxfId="609" headerRowBorderDxfId="607" tableBorderDxfId="608" totalsRowBorderDxfId="606">
  <autoFilter ref="P12:S26" xr:uid="{0E7F0D9A-AB58-44A4-9409-811D7CF48231}"/>
  <tableColumns count="4">
    <tableColumn id="1" xr3:uid="{5162EE8F-10C8-489D-9162-7CAE8D0B3849}" name="Service" totalsRowLabel="Total" dataDxfId="604" totalsRowDxfId="605"/>
    <tableColumn id="2" xr3:uid="{DC745A43-F583-4562-9630-B32AAEF87EFB}" name="Due" dataDxfId="602" totalsRowDxfId="603"/>
    <tableColumn id="3" xr3:uid="{C77B2219-6E60-410D-BCC7-8823EA44A6BE}" name="Planned" totalsRowFunction="custom" dataDxfId="600" totalsRowDxfId="601">
      <totalsRowFormula>SUM(R13:R26)</totalsRowFormula>
    </tableColumn>
    <tableColumn id="4" xr3:uid="{2524D57B-C2AE-4804-B9EF-F97E89091DE6}" name="Actual" totalsRowFunction="count" dataDxfId="598" totalsRowDxfId="5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7600FB-6715-46B8-802D-3C909948A531}" name="Savings_3" displayName="Savings_3" ref="U12:X27" totalsRowCount="1" headerRowDxfId="597" totalsRowDxfId="596" headerRowBorderDxfId="594" tableBorderDxfId="595" totalsRowBorderDxfId="593">
  <autoFilter ref="U12:X26" xr:uid="{B4BF81A8-B423-4B5B-B86F-3F525C6B18A9}"/>
  <tableColumns count="4">
    <tableColumn id="1" xr3:uid="{96601987-C38C-4CB7-83DD-177077DC820B}" name="Aim" totalsRowLabel="Total" dataDxfId="591" totalsRowDxfId="592"/>
    <tableColumn id="2" xr3:uid="{62CA1F66-79E4-437C-8DF2-D80FF82DA00E}" name="Planned" totalsRowFunction="custom" dataDxfId="589" totalsRowDxfId="590">
      <totalsRowFormula>SUM(V13:V26)</totalsRowFormula>
    </tableColumn>
    <tableColumn id="3" xr3:uid="{DB795260-E8D5-4388-93AC-49BDE1A5BFEC}" name="Actual" totalsRowFunction="sum" dataDxfId="587" totalsRowDxfId="588"/>
    <tableColumn id="4" xr3:uid="{63CCE40B-65A0-4AB2-9887-3D6E3A7C5D8B}" name="Left" totalsRowFunction="custom" dataDxfId="585" totalsRowDxfId="586">
      <calculatedColumnFormula>Savings_3[[#This Row],[Planned]]-Savings_3[[#This Row],[Actual]]</calculatedColumnFormula>
      <totalsRowFormula>SUM(Savings_3[Left])</totalsRow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669D129-8004-46C8-86FE-73BE8566CDE5}" name="Income_4" displayName="Income_4" ref="A12:D27" totalsRowCount="1" headerRowDxfId="584" totalsRowDxfId="583" headerRowBorderDxfId="581" tableBorderDxfId="582" totalsRowBorderDxfId="580">
  <autoFilter ref="A12:D26" xr:uid="{93B9FDA8-428F-476D-9993-DDB17573CCE8}"/>
  <tableColumns count="4">
    <tableColumn id="1" xr3:uid="{6372EE98-C170-4319-855D-F5084398E98A}" name="Source" totalsRowLabel="Total" dataDxfId="578" totalsRowDxfId="579"/>
    <tableColumn id="2" xr3:uid="{98285742-6851-4F2C-BCA5-DA47A7A260E9}" name="Planned" totalsRowFunction="custom" dataDxfId="576" totalsRowDxfId="577">
      <totalsRowFormula>SUM(B13:B26)</totalsRowFormula>
    </tableColumn>
    <tableColumn id="3" xr3:uid="{56B9E22B-D122-4D79-8876-F8C1E5FF9FB5}" name="Actual" totalsRowFunction="custom" dataDxfId="574" totalsRowDxfId="575">
      <totalsRowFormula>SUM(Income_4[Actual])</totalsRowFormula>
    </tableColumn>
    <tableColumn id="4" xr3:uid="{C71B3946-44D9-458C-B298-1ECDB58662F0}" name="Left" totalsRowFunction="sum" dataDxfId="572" totalsRowDxfId="573"/>
  </tableColumns>
  <tableStyleInfo name="Table Style Min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6049CAE-953A-4FD7-B2C1-6CA47173BC26}" name="Expenses_4" displayName="Expenses_4" ref="F12:I27" totalsRowCount="1" headerRowDxfId="571" totalsRowDxfId="570" headerRowBorderDxfId="568" tableBorderDxfId="569" totalsRowBorderDxfId="567">
  <autoFilter ref="F12:I26" xr:uid="{24A8353D-9D5D-42AC-A175-10AA233D4CCC}"/>
  <tableColumns count="4">
    <tableColumn id="1" xr3:uid="{9D0CFA46-8E2B-4B8C-898C-0A4B2A20A5EC}" name="Category" totalsRowLabel="Total" dataDxfId="565" totalsRowDxfId="566"/>
    <tableColumn id="2" xr3:uid="{FD7D9A56-3FB8-4866-9E40-7275E778BD28}" name="Planned" totalsRowFunction="custom" dataDxfId="563" totalsRowDxfId="564" dataCellStyle="Currency">
      <totalsRowFormula>SUM(G13:G26)</totalsRowFormula>
    </tableColumn>
    <tableColumn id="3" xr3:uid="{B08977F5-87DA-43F3-A290-5F6661E904BB}" name="Actual" totalsRowFunction="custom" dataDxfId="561" totalsRowDxfId="562" dataCellStyle="Currency">
      <totalsRowFormula>SUM(H13:H26)</totalsRowFormula>
    </tableColumn>
    <tableColumn id="4" xr3:uid="{EF614ABE-AD33-43F9-BC87-6A7F5F6B731D}" name="Left" totalsRowFunction="sum" dataDxfId="559" totalsRowDxfId="560" dataCellStyle="Currenc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7905AF7-1E6F-400C-9B5C-95B99F505EE8}" name="Bills_4" displayName="Bills_4" ref="K12:N27" totalsRowCount="1" headerRowDxfId="558" totalsRowDxfId="557" headerRowBorderDxfId="555" tableBorderDxfId="556" totalsRowBorderDxfId="554">
  <autoFilter ref="K12:N26" xr:uid="{EB5C5F31-13A9-4CEA-9193-37475751E1DB}"/>
  <tableColumns count="4">
    <tableColumn id="1" xr3:uid="{724F9A00-4D02-4718-8329-2B97A238D4E9}" name="Bill" totalsRowLabel="Total" dataDxfId="552" totalsRowDxfId="553"/>
    <tableColumn id="2" xr3:uid="{708D08D4-9008-45FB-B32E-2DFD09BCD98C}" name="Due" dataDxfId="550" totalsRowDxfId="551"/>
    <tableColumn id="3" xr3:uid="{09C96000-4B21-401A-B7BC-677DA09B0EF5}" name="Planned" totalsRowFunction="custom" dataDxfId="548" totalsRowDxfId="549" dataCellStyle="Currency">
      <totalsRowFormula>SUM(M13:M26)</totalsRowFormula>
    </tableColumn>
    <tableColumn id="4" xr3:uid="{5537BDA2-5BF2-4943-89B0-B0C3164323B5}" name="Actual" totalsRowFunction="count" dataDxfId="546" totalsRowDxfId="547" dataCellStyle="Currency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A103DE6-0661-4564-B26A-0715D52FBFC6}" name="Subscriptions_4" displayName="Subscriptions_4" ref="P12:S27" totalsRowCount="1" headerRowDxfId="545" totalsRowDxfId="544" headerRowBorderDxfId="542" tableBorderDxfId="543" totalsRowBorderDxfId="541">
  <autoFilter ref="P12:S26" xr:uid="{0E7F0D9A-AB58-44A4-9409-811D7CF48231}"/>
  <tableColumns count="4">
    <tableColumn id="1" xr3:uid="{307D8639-8FA8-4119-BFA9-D8349770DBD3}" name="Service" totalsRowLabel="Total" dataDxfId="539" totalsRowDxfId="540"/>
    <tableColumn id="2" xr3:uid="{9192E6D7-1241-49ED-872E-437B89EB0B8B}" name="Due" dataDxfId="537" totalsRowDxfId="538"/>
    <tableColumn id="3" xr3:uid="{AD6D80CA-77DD-4085-92A0-3FEA9B337A5B}" name="Planned" totalsRowFunction="custom" dataDxfId="535" totalsRowDxfId="536">
      <totalsRowFormula>SUM(R13:R26)</totalsRowFormula>
    </tableColumn>
    <tableColumn id="4" xr3:uid="{37CC83F8-5E9F-4B4C-996F-2409FE576856}" name="Actual" totalsRowFunction="count" dataDxfId="533" totalsRowDxfId="53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11C8088-33E9-42B8-8195-D980B3880FEE}" name="Savings_4" displayName="Savings_4" ref="U12:X27" totalsRowCount="1" headerRowDxfId="532" totalsRowDxfId="531" headerRowBorderDxfId="529" tableBorderDxfId="530" totalsRowBorderDxfId="528">
  <autoFilter ref="U12:X26" xr:uid="{B4BF81A8-B423-4B5B-B86F-3F525C6B18A9}"/>
  <tableColumns count="4">
    <tableColumn id="1" xr3:uid="{3EE32FE2-A115-43D0-96F0-2182CD569608}" name="Aim" totalsRowLabel="Total" dataDxfId="526" totalsRowDxfId="527"/>
    <tableColumn id="2" xr3:uid="{3432BDE3-F2A8-42E8-8252-E55E5F01AA80}" name="Planned" totalsRowFunction="custom" dataDxfId="524" totalsRowDxfId="525">
      <totalsRowFormula>SUM(V13:V26)</totalsRowFormula>
    </tableColumn>
    <tableColumn id="3" xr3:uid="{AD693141-C71A-4DBF-BADC-BC4A725E82F5}" name="Actual" totalsRowFunction="sum" dataDxfId="522" totalsRowDxfId="523"/>
    <tableColumn id="4" xr3:uid="{F4BAEB0F-EA10-4028-9D8C-2843830D7441}" name="Left" totalsRowFunction="custom" dataDxfId="520" totalsRowDxfId="521">
      <calculatedColumnFormula>Savings_4[[#This Row],[Planned]]-Savings_4[[#This Row],[Actual]]</calculatedColumnFormula>
      <totalsRowFormula>SUM(Savings_4[Left])</totalsRow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AB74BCF-E3B6-4562-89DD-01836DF326F7}" name="Income_5" displayName="Income_5" ref="A12:D27" totalsRowCount="1" headerRowDxfId="519" totalsRowDxfId="518" headerRowBorderDxfId="516" tableBorderDxfId="517" totalsRowBorderDxfId="515">
  <autoFilter ref="A12:D26" xr:uid="{93B9FDA8-428F-476D-9993-DDB17573CCE8}"/>
  <tableColumns count="4">
    <tableColumn id="1" xr3:uid="{9FA56EB0-B082-41DC-A1C3-E7FC148364BF}" name="Source" totalsRowLabel="Total" dataDxfId="513" totalsRowDxfId="514"/>
    <tableColumn id="2" xr3:uid="{0B972113-E030-4283-B625-8A9F4F87F24F}" name="Planned" totalsRowFunction="custom" dataDxfId="511" totalsRowDxfId="512">
      <totalsRowFormula>SUM(B13:B26)</totalsRowFormula>
    </tableColumn>
    <tableColumn id="3" xr3:uid="{C7C45F43-C932-4ECC-A0FF-B5C56E950AA7}" name="Actual" totalsRowFunction="custom" dataDxfId="509" totalsRowDxfId="510">
      <totalsRowFormula>SUM(Income_5[Actual])</totalsRowFormula>
    </tableColumn>
    <tableColumn id="4" xr3:uid="{266A3EA4-B923-4697-A3A6-886E2027E605}" name="Left" totalsRowFunction="sum" dataDxfId="507" totalsRowDxfId="508"/>
  </tableColumns>
  <tableStyleInfo name="Table Style Min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455F83B2-26D4-4F57-A8FB-F3121069B090}" name="Expenses_5" displayName="Expenses_5" ref="F12:I27" totalsRowCount="1" headerRowDxfId="506" totalsRowDxfId="505" headerRowBorderDxfId="503" tableBorderDxfId="504" totalsRowBorderDxfId="502">
  <autoFilter ref="F12:I26" xr:uid="{24A8353D-9D5D-42AC-A175-10AA233D4CCC}"/>
  <tableColumns count="4">
    <tableColumn id="1" xr3:uid="{F6CF43A4-53FA-4DFF-A053-D8722EC77879}" name="Category" totalsRowLabel="Total" dataDxfId="500" totalsRowDxfId="501"/>
    <tableColumn id="2" xr3:uid="{38DDDE92-A6B6-46D2-AF4B-C4443E5B7F7B}" name="Planned" totalsRowFunction="custom" dataDxfId="498" totalsRowDxfId="499" dataCellStyle="Currency">
      <totalsRowFormula>SUM(G13:G26)</totalsRowFormula>
    </tableColumn>
    <tableColumn id="3" xr3:uid="{B5A0109F-4AD7-43F3-8F21-E3E0967AE551}" name="Actual" totalsRowFunction="custom" dataDxfId="496" totalsRowDxfId="497" dataCellStyle="Currency">
      <totalsRowFormula>SUM(H13:H26)</totalsRowFormula>
    </tableColumn>
    <tableColumn id="4" xr3:uid="{4528C9E7-AC07-4091-9436-A0C58192D8C9}" name="Left" totalsRowFunction="sum" dataDxfId="494" totalsRowDxfId="495" dataCellStyle="Currenc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127C3E7-EE81-4673-89EC-70C2A606387C}" name="Bills_5" displayName="Bills_5" ref="K12:N27" totalsRowCount="1" headerRowDxfId="493" totalsRowDxfId="492" headerRowBorderDxfId="490" tableBorderDxfId="491" totalsRowBorderDxfId="489">
  <autoFilter ref="K12:N26" xr:uid="{EB5C5F31-13A9-4CEA-9193-37475751E1DB}"/>
  <tableColumns count="4">
    <tableColumn id="1" xr3:uid="{3417527D-F77D-420B-9778-C79F73FD0C34}" name="Bill" totalsRowLabel="Total" dataDxfId="487" totalsRowDxfId="488"/>
    <tableColumn id="2" xr3:uid="{6DDCACEE-1BF9-4FEB-A37A-8DF85791E427}" name="Due" dataDxfId="485" totalsRowDxfId="486"/>
    <tableColumn id="3" xr3:uid="{F8DAFC90-4DB6-4B9A-A348-A9294D2D7FCA}" name="Planned" totalsRowFunction="custom" dataDxfId="483" totalsRowDxfId="484" dataCellStyle="Currency">
      <totalsRowFormula>SUM(M13:M26)</totalsRowFormula>
    </tableColumn>
    <tableColumn id="4" xr3:uid="{E8564D6E-0162-49F9-BCBC-FBD6811D95A7}" name="Actual" totalsRowFunction="count" dataDxfId="481" totalsRowDxfId="482" dataCellStyle="Currency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7F15783-EE93-41E3-B4C6-D13D46BA4356}" name="Subscriptions_5" displayName="Subscriptions_5" ref="P12:S27" totalsRowCount="1" headerRowDxfId="480" totalsRowDxfId="479" headerRowBorderDxfId="477" tableBorderDxfId="478" totalsRowBorderDxfId="476">
  <autoFilter ref="P12:S26" xr:uid="{0E7F0D9A-AB58-44A4-9409-811D7CF48231}"/>
  <tableColumns count="4">
    <tableColumn id="1" xr3:uid="{6575B255-EA4F-4B98-BA22-FD3B70476263}" name="Service" totalsRowLabel="Total" dataDxfId="474" totalsRowDxfId="475"/>
    <tableColumn id="2" xr3:uid="{D4F93500-B323-46DB-9026-BDF77B5DA30A}" name="Due" dataDxfId="472" totalsRowDxfId="473"/>
    <tableColumn id="3" xr3:uid="{D0372497-507D-47A9-9727-53B9CC107A02}" name="Planned" totalsRowFunction="custom" dataDxfId="470" totalsRowDxfId="471">
      <totalsRowFormula>SUM(R13:R26)</totalsRowFormula>
    </tableColumn>
    <tableColumn id="4" xr3:uid="{50ADCD50-C4B6-411C-90D7-D5F90B5D1951}" name="Actual" totalsRowFunction="count" dataDxfId="468" totalsRowDxfId="46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F9EE4AB-1386-480F-80F0-48A8FEA18CBD}" name="Savings_5" displayName="Savings_5" ref="U12:X27" totalsRowCount="1" headerRowDxfId="467" totalsRowDxfId="466" headerRowBorderDxfId="464" tableBorderDxfId="465" totalsRowBorderDxfId="463">
  <autoFilter ref="U12:X26" xr:uid="{B4BF81A8-B423-4B5B-B86F-3F525C6B18A9}"/>
  <tableColumns count="4">
    <tableColumn id="1" xr3:uid="{D8FC978F-F9A0-4B81-A64B-8FB4B14B53E4}" name="Aim" totalsRowLabel="Total" dataDxfId="461" totalsRowDxfId="462"/>
    <tableColumn id="2" xr3:uid="{901D6FC6-144B-4A85-8103-273AECEE06B8}" name="Planned" totalsRowFunction="custom" dataDxfId="459" totalsRowDxfId="460">
      <totalsRowFormula>SUM(V13:V26)</totalsRowFormula>
    </tableColumn>
    <tableColumn id="3" xr3:uid="{308EA4FD-7B84-4E51-BC9F-7D646EF467CC}" name="Actual" totalsRowFunction="sum" dataDxfId="457" totalsRowDxfId="458"/>
    <tableColumn id="4" xr3:uid="{3B7CE294-AAE4-4D63-82BC-4B573BAE1A86}" name="Left" totalsRowFunction="custom" dataDxfId="455" totalsRowDxfId="456">
      <calculatedColumnFormula>Savings_5[[#This Row],[Planned]]-Savings_5[[#This Row],[Actual]]</calculatedColumnFormula>
      <totalsRowFormula>SUM(Savings_5[Left])</totalsRow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4E7B854-BFBA-44BA-A1FA-F0C72E5067A6}" name="Income_6" displayName="Income_6" ref="A12:D27" totalsRowCount="1" headerRowDxfId="454" totalsRowDxfId="453" headerRowBorderDxfId="451" tableBorderDxfId="452" totalsRowBorderDxfId="450">
  <autoFilter ref="A12:D26" xr:uid="{93B9FDA8-428F-476D-9993-DDB17573CCE8}"/>
  <tableColumns count="4">
    <tableColumn id="1" xr3:uid="{4F4B6E8E-F78E-43F8-9CA2-C389A95AFB54}" name="Source" totalsRowLabel="Total" dataDxfId="448" totalsRowDxfId="449"/>
    <tableColumn id="2" xr3:uid="{4C458276-05C9-411C-9B99-C97EFD73ACC7}" name="Planned" totalsRowFunction="custom" dataDxfId="446" totalsRowDxfId="447">
      <totalsRowFormula>SUM(B13:B26)</totalsRowFormula>
    </tableColumn>
    <tableColumn id="3" xr3:uid="{45F1C7E8-6E08-4CB5-B47B-4F2C015DA5D5}" name="Actual" totalsRowFunction="custom" dataDxfId="444" totalsRowDxfId="445">
      <totalsRowFormula>SUM(Income_6[Actual])</totalsRowFormula>
    </tableColumn>
    <tableColumn id="4" xr3:uid="{FD374896-9217-4F7B-808B-E1C0E245AF16}" name="Left" totalsRowFunction="sum" dataDxfId="442" totalsRowDxfId="443"/>
  </tableColumns>
  <tableStyleInfo name="Table Style Min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8A9E353-4BCD-4676-85AA-F4EF7AAAFAED}" name="Expenses_6" displayName="Expenses_6" ref="F12:I27" totalsRowCount="1" headerRowDxfId="441" totalsRowDxfId="440" headerRowBorderDxfId="438" tableBorderDxfId="439" totalsRowBorderDxfId="437">
  <autoFilter ref="F12:I26" xr:uid="{24A8353D-9D5D-42AC-A175-10AA233D4CCC}"/>
  <tableColumns count="4">
    <tableColumn id="1" xr3:uid="{18F904C8-AA48-42F4-8371-6F0BA8E0A165}" name="Category" totalsRowLabel="Total" dataDxfId="435" totalsRowDxfId="436"/>
    <tableColumn id="2" xr3:uid="{2ABA4F70-DA02-446E-BA5D-6F94DC85C208}" name="Planned" totalsRowFunction="custom" dataDxfId="433" totalsRowDxfId="434" dataCellStyle="Currency">
      <totalsRowFormula>SUM(G13:G26)</totalsRowFormula>
    </tableColumn>
    <tableColumn id="3" xr3:uid="{C53752A9-CA39-4250-A6A6-C5AFE3DDC951}" name="Actual" totalsRowFunction="custom" dataDxfId="431" totalsRowDxfId="432" dataCellStyle="Currency">
      <totalsRowFormula>SUM(H13:H26)</totalsRowFormula>
    </tableColumn>
    <tableColumn id="4" xr3:uid="{2E6C72BE-58B5-4FBA-80CC-567661D4BCF3}" name="Left" totalsRowFunction="sum" dataDxfId="429" totalsRowDxfId="430" dataCellStyle="Currency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363F66B-3B24-431A-9663-87D52266128A}" name="Bills_6" displayName="Bills_6" ref="K12:N27" totalsRowCount="1" headerRowDxfId="428" totalsRowDxfId="427" headerRowBorderDxfId="425" tableBorderDxfId="426" totalsRowBorderDxfId="424">
  <autoFilter ref="K12:N26" xr:uid="{EB5C5F31-13A9-4CEA-9193-37475751E1DB}"/>
  <tableColumns count="4">
    <tableColumn id="1" xr3:uid="{D30A9D1C-CB85-45B1-A8FE-BBCBE12BBC67}" name="Bill" totalsRowLabel="Total" dataDxfId="422" totalsRowDxfId="423"/>
    <tableColumn id="2" xr3:uid="{6B5F7468-985C-4617-B24B-5307DDAFADAE}" name="Due" dataDxfId="420" totalsRowDxfId="421"/>
    <tableColumn id="3" xr3:uid="{245B9739-1A6A-461B-8FD0-DAE55BDF3D6A}" name="Planned" totalsRowFunction="custom" dataDxfId="418" totalsRowDxfId="419" dataCellStyle="Currency">
      <totalsRowFormula>SUM(M13:M26)</totalsRowFormula>
    </tableColumn>
    <tableColumn id="4" xr3:uid="{934938A7-645C-43F6-8BFC-69CA8F0DAB72}" name="Actual" totalsRowFunction="count" dataDxfId="416" totalsRowDxfId="417" dataCellStyle="Currency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F98765B-A1BE-4E24-A9E6-E99553DCD93E}" name="Subscriptions_6" displayName="Subscriptions_6" ref="P12:S27" totalsRowCount="1" headerRowDxfId="415" totalsRowDxfId="414" headerRowBorderDxfId="412" tableBorderDxfId="413" totalsRowBorderDxfId="411">
  <autoFilter ref="P12:S26" xr:uid="{0E7F0D9A-AB58-44A4-9409-811D7CF48231}"/>
  <tableColumns count="4">
    <tableColumn id="1" xr3:uid="{9A62ED0E-0E61-43F0-B2EB-42FE58D5009A}" name="Service" totalsRowLabel="Total" dataDxfId="409" totalsRowDxfId="410"/>
    <tableColumn id="2" xr3:uid="{F91209A2-5647-429D-9547-4FD815CE85E7}" name="Due" dataDxfId="407" totalsRowDxfId="408"/>
    <tableColumn id="3" xr3:uid="{16A5A2B9-008D-4762-A711-D534BB39C5EA}" name="Planned" totalsRowFunction="custom" dataDxfId="405" totalsRowDxfId="406">
      <totalsRowFormula>SUM(R13:R26)</totalsRowFormula>
    </tableColumn>
    <tableColumn id="4" xr3:uid="{865762F4-2F2D-4CB7-9A4F-428ECD1C4397}" name="Actual" totalsRowFunction="count" dataDxfId="403" totalsRowDxfId="40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B6E4286-BA6F-4B06-B7D8-8AB30C5092B2}" name="Savings_6" displayName="Savings_6" ref="U12:X27" totalsRowCount="1" headerRowDxfId="402" totalsRowDxfId="401" headerRowBorderDxfId="399" tableBorderDxfId="400" totalsRowBorderDxfId="398">
  <autoFilter ref="U12:X26" xr:uid="{B4BF81A8-B423-4B5B-B86F-3F525C6B18A9}"/>
  <tableColumns count="4">
    <tableColumn id="1" xr3:uid="{82F2DC71-797B-4247-B913-C41EBE902CF1}" name="Aim" totalsRowLabel="Total" dataDxfId="396" totalsRowDxfId="397"/>
    <tableColumn id="2" xr3:uid="{DE34A2FC-2BDC-4245-AF97-41C5DFB64267}" name="Planned" totalsRowFunction="custom" dataDxfId="394" totalsRowDxfId="395">
      <totalsRowFormula>SUM(V13:V26)</totalsRowFormula>
    </tableColumn>
    <tableColumn id="3" xr3:uid="{D82808C2-BA2E-4CC3-85C6-FCAEBF289BED}" name="Actual" totalsRowFunction="sum" dataDxfId="392" totalsRowDxfId="393"/>
    <tableColumn id="4" xr3:uid="{D60BD040-C867-47F6-B5FA-FD5652B96B8F}" name="Left" totalsRowFunction="custom" dataDxfId="390" totalsRowDxfId="391">
      <calculatedColumnFormula>Savings_6[[#This Row],[Planned]]-Savings_6[[#This Row],[Actual]]</calculatedColumnFormula>
      <totalsRowFormula>SUM(Savings_6[Left])</totalsRow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9C2A56B-CE94-4C9A-8973-903D3714BC67}" name="Income_7" displayName="Income_7" ref="A12:D27" totalsRowCount="1" headerRowDxfId="389" totalsRowDxfId="388" headerRowBorderDxfId="386" tableBorderDxfId="387" totalsRowBorderDxfId="385">
  <autoFilter ref="A12:D26" xr:uid="{93B9FDA8-428F-476D-9993-DDB17573CCE8}"/>
  <tableColumns count="4">
    <tableColumn id="1" xr3:uid="{102C39B8-F94E-4B93-863F-9579F58DC620}" name="Source" totalsRowLabel="Total" dataDxfId="383" totalsRowDxfId="384"/>
    <tableColumn id="2" xr3:uid="{DC3423F8-868C-47F3-B639-00549AD08A98}" name="Planned" totalsRowFunction="custom" dataDxfId="381" totalsRowDxfId="382">
      <totalsRowFormula>SUM(B13:B26)</totalsRowFormula>
    </tableColumn>
    <tableColumn id="3" xr3:uid="{E9CE8406-AD63-4791-8AD4-7B1C265C055A}" name="Actual" totalsRowFunction="custom" dataDxfId="379" totalsRowDxfId="380">
      <totalsRowFormula>SUM(Income_7[Actual])</totalsRowFormula>
    </tableColumn>
    <tableColumn id="4" xr3:uid="{C8CC6E0E-D8B4-48FE-958B-920DF86D2E3E}" name="Left" totalsRowFunction="sum" dataDxfId="377" totalsRowDxfId="378"/>
  </tableColumns>
  <tableStyleInfo name="Table Style Mine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81D42CE-0A3E-4391-B01E-724E8150F83E}" name="Expenses_7" displayName="Expenses_7" ref="F12:I27" totalsRowCount="1" headerRowDxfId="376" totalsRowDxfId="375" headerRowBorderDxfId="373" tableBorderDxfId="374" totalsRowBorderDxfId="372">
  <autoFilter ref="F12:I26" xr:uid="{24A8353D-9D5D-42AC-A175-10AA233D4CCC}"/>
  <tableColumns count="4">
    <tableColumn id="1" xr3:uid="{81E25403-6DFF-4A2A-A74A-37A396AC938D}" name="Category" totalsRowLabel="Total" dataDxfId="370" totalsRowDxfId="371"/>
    <tableColumn id="2" xr3:uid="{1144910A-689E-45FE-B9FE-585AF4DA60B4}" name="Planned" totalsRowFunction="custom" dataDxfId="368" totalsRowDxfId="369" dataCellStyle="Currency">
      <totalsRowFormula>SUM(G13:G26)</totalsRowFormula>
    </tableColumn>
    <tableColumn id="3" xr3:uid="{7ED65432-E16A-4806-AADC-8FCFA3DFE735}" name="Actual" totalsRowFunction="custom" dataDxfId="366" totalsRowDxfId="367" dataCellStyle="Currency">
      <totalsRowFormula>SUM(H13:H26)</totalsRowFormula>
    </tableColumn>
    <tableColumn id="4" xr3:uid="{C972DF0A-822F-44E1-AA11-20E88E90CCCA}" name="Left" totalsRowFunction="sum" dataDxfId="364" totalsRowDxfId="365" dataCellStyle="Currency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602E091-43CE-4BDD-9D5C-E772FFB3DB3C}" name="Bills_7" displayName="Bills_7" ref="K12:N27" totalsRowCount="1" headerRowDxfId="363" totalsRowDxfId="362" headerRowBorderDxfId="360" tableBorderDxfId="361" totalsRowBorderDxfId="359">
  <autoFilter ref="K12:N26" xr:uid="{EB5C5F31-13A9-4CEA-9193-37475751E1DB}"/>
  <tableColumns count="4">
    <tableColumn id="1" xr3:uid="{DA61F147-5B6A-4C4B-8121-F2004D6A2544}" name="Bill" totalsRowLabel="Total" dataDxfId="357" totalsRowDxfId="358"/>
    <tableColumn id="2" xr3:uid="{D44F9C4F-1AFE-4D04-BA1E-CED87E2674E7}" name="Due" dataDxfId="355" totalsRowDxfId="356"/>
    <tableColumn id="3" xr3:uid="{88FD1DF1-917E-4600-8CF0-57E37771A434}" name="Planned" totalsRowFunction="custom" dataDxfId="353" totalsRowDxfId="354" dataCellStyle="Currency">
      <totalsRowFormula>SUM(M13:M26)</totalsRowFormula>
    </tableColumn>
    <tableColumn id="4" xr3:uid="{8D1640D1-A894-4F9A-AC40-380DF3592887}" name="Actual" totalsRowFunction="count" dataDxfId="351" totalsRowDxfId="352" dataCellStyle="Currency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84CCA10-1CA8-42A9-83B6-2CFCD6993794}" name="Subscriptions_7" displayName="Subscriptions_7" ref="P12:S27" totalsRowCount="1" headerRowDxfId="350" totalsRowDxfId="349" headerRowBorderDxfId="347" tableBorderDxfId="348" totalsRowBorderDxfId="346">
  <autoFilter ref="P12:S26" xr:uid="{0E7F0D9A-AB58-44A4-9409-811D7CF48231}"/>
  <tableColumns count="4">
    <tableColumn id="1" xr3:uid="{549B9F42-49C0-4144-9371-1DA9FBE54D64}" name="Service" totalsRowLabel="Total" dataDxfId="344" totalsRowDxfId="345"/>
    <tableColumn id="2" xr3:uid="{ABF33A4D-218D-4DFC-97FF-305133044154}" name="Due" dataDxfId="342" totalsRowDxfId="343"/>
    <tableColumn id="3" xr3:uid="{C1B29A4A-FCCB-4BA7-BC58-6713A7B6200E}" name="Planned" totalsRowFunction="custom" dataDxfId="340" totalsRowDxfId="341">
      <totalsRowFormula>SUM(R13:R26)</totalsRowFormula>
    </tableColumn>
    <tableColumn id="4" xr3:uid="{70888B5C-586E-4B82-9E0E-BB40A4B83ECD}" name="Actual" totalsRowFunction="count" dataDxfId="338" totalsRowDxfId="33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F4F6F32-56B1-4538-975D-FCD361EF7D5A}" name="Savings_7" displayName="Savings_7" ref="U12:X27" totalsRowCount="1" headerRowDxfId="337" totalsRowDxfId="336" headerRowBorderDxfId="334" tableBorderDxfId="335" totalsRowBorderDxfId="333">
  <autoFilter ref="U12:X26" xr:uid="{B4BF81A8-B423-4B5B-B86F-3F525C6B18A9}"/>
  <tableColumns count="4">
    <tableColumn id="1" xr3:uid="{8430CB37-E312-4EE6-879D-8056C5BA8742}" name="Aim" totalsRowLabel="Total" dataDxfId="331" totalsRowDxfId="332"/>
    <tableColumn id="2" xr3:uid="{3AA5BAEA-5010-4E15-8392-EAF60B6E5FAD}" name="Planned" totalsRowFunction="custom" dataDxfId="329" totalsRowDxfId="330">
      <totalsRowFormula>SUM(V13:V26)</totalsRowFormula>
    </tableColumn>
    <tableColumn id="3" xr3:uid="{3AED0BBD-4E45-48EE-91A2-0297CED3E289}" name="Actual" totalsRowFunction="sum" dataDxfId="327" totalsRowDxfId="328"/>
    <tableColumn id="4" xr3:uid="{A5E7A8A6-CB11-481C-A5AD-DC00EAF41645}" name="Left" totalsRowFunction="custom" dataDxfId="325" totalsRowDxfId="326">
      <calculatedColumnFormula>Savings_7[[#This Row],[Planned]]-Savings_7[[#This Row],[Actual]]</calculatedColumnFormula>
      <totalsRowFormula>SUM(Savings_7[Left])</totalsRow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582B11B-2063-4C7B-BB79-B888F52A0B42}" name="Income_8" displayName="Income_8" ref="A12:D27" totalsRowCount="1" headerRowDxfId="324" totalsRowDxfId="323" headerRowBorderDxfId="321" tableBorderDxfId="322" totalsRowBorderDxfId="320">
  <autoFilter ref="A12:D26" xr:uid="{93B9FDA8-428F-476D-9993-DDB17573CCE8}"/>
  <tableColumns count="4">
    <tableColumn id="1" xr3:uid="{C1746972-6A97-4A65-BF0F-24F1E8EF420C}" name="Source" totalsRowLabel="Total" dataDxfId="318" totalsRowDxfId="319"/>
    <tableColumn id="2" xr3:uid="{64D6F356-3085-4E6E-BB2E-FE82014F4ECC}" name="Planned" totalsRowFunction="custom" dataDxfId="316" totalsRowDxfId="317">
      <totalsRowFormula>SUM(B13:B26)</totalsRowFormula>
    </tableColumn>
    <tableColumn id="3" xr3:uid="{0F4BB19A-5A72-4DD3-970F-4E00AD44FAD8}" name="Actual" totalsRowFunction="custom" dataDxfId="314" totalsRowDxfId="315">
      <totalsRowFormula>SUM(Income_8[Actual])</totalsRowFormula>
    </tableColumn>
    <tableColumn id="4" xr3:uid="{B8970343-9FB3-49AF-82F0-E3775500B560}" name="Left" totalsRowFunction="sum" dataDxfId="312" totalsRowDxfId="313"/>
  </tableColumns>
  <tableStyleInfo name="Table Style Min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EAA522E-4D66-4152-A792-596614100623}" name="Expenses_8" displayName="Expenses_8" ref="F12:I27" totalsRowCount="1" headerRowDxfId="311" totalsRowDxfId="310" headerRowBorderDxfId="308" tableBorderDxfId="309" totalsRowBorderDxfId="307">
  <autoFilter ref="F12:I26" xr:uid="{24A8353D-9D5D-42AC-A175-10AA233D4CCC}"/>
  <tableColumns count="4">
    <tableColumn id="1" xr3:uid="{B7EFE08D-81AB-4149-902C-68115C1A9F29}" name="Category" totalsRowLabel="Total" dataDxfId="305" totalsRowDxfId="306"/>
    <tableColumn id="2" xr3:uid="{AFD06D7C-9476-405D-9010-82A152196500}" name="Planned" totalsRowFunction="custom" dataDxfId="303" totalsRowDxfId="304" dataCellStyle="Currency">
      <totalsRowFormula>SUM(G13:G26)</totalsRowFormula>
    </tableColumn>
    <tableColumn id="3" xr3:uid="{D4358BE8-0901-427C-AE60-02365AB6B209}" name="Actual" totalsRowFunction="custom" dataDxfId="301" totalsRowDxfId="302" dataCellStyle="Currency">
      <totalsRowFormula>SUM(H13:H26)</totalsRowFormula>
    </tableColumn>
    <tableColumn id="4" xr3:uid="{1E5BE362-082E-4B53-A8C6-C9E8CA02A8C0}" name="Left" totalsRowFunction="sum" dataDxfId="299" totalsRowDxfId="300" dataCellStyle="Currency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3754D202-3307-4557-94B8-074FA5BCEE63}" name="Bills_8" displayName="Bills_8" ref="K12:N27" totalsRowCount="1" headerRowDxfId="298" totalsRowDxfId="297" headerRowBorderDxfId="295" tableBorderDxfId="296" totalsRowBorderDxfId="294">
  <autoFilter ref="K12:N26" xr:uid="{EB5C5F31-13A9-4CEA-9193-37475751E1DB}"/>
  <tableColumns count="4">
    <tableColumn id="1" xr3:uid="{39F31C92-477C-400E-9B94-B04A7B1DE48B}" name="Bill" totalsRowLabel="Total" dataDxfId="292" totalsRowDxfId="293"/>
    <tableColumn id="2" xr3:uid="{7A939895-26EE-47EC-9773-C2AD887FAE94}" name="Due" dataDxfId="290" totalsRowDxfId="291"/>
    <tableColumn id="3" xr3:uid="{A16CB84F-E449-499F-8283-A33EE3DE9A27}" name="Planned" totalsRowFunction="custom" dataDxfId="288" totalsRowDxfId="289" dataCellStyle="Currency">
      <totalsRowFormula>SUM(M13:M26)</totalsRowFormula>
    </tableColumn>
    <tableColumn id="4" xr3:uid="{404477E7-45BE-4B10-8833-96D033CF22AF}" name="Actual" totalsRowFunction="count" dataDxfId="286" totalsRowDxfId="287" dataCellStyle="Currency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6F147934-893F-4307-9CE7-F28976B9D4CF}" name="Subscriptions_8" displayName="Subscriptions_8" ref="P12:S27" totalsRowCount="1" headerRowDxfId="285" totalsRowDxfId="284" headerRowBorderDxfId="282" tableBorderDxfId="283" totalsRowBorderDxfId="281">
  <autoFilter ref="P12:S26" xr:uid="{0E7F0D9A-AB58-44A4-9409-811D7CF48231}"/>
  <tableColumns count="4">
    <tableColumn id="1" xr3:uid="{7B8DCC64-B370-4135-9A31-1F548420FBF0}" name="Service" totalsRowLabel="Total" dataDxfId="279" totalsRowDxfId="280"/>
    <tableColumn id="2" xr3:uid="{2EFA62E5-6A18-4B2B-9108-312073181F35}" name="Due" dataDxfId="277" totalsRowDxfId="278"/>
    <tableColumn id="3" xr3:uid="{A5E71145-E455-4A38-A583-FEF8CAF488E6}" name="Planned" totalsRowFunction="custom" dataDxfId="275" totalsRowDxfId="276">
      <totalsRowFormula>SUM(R13:R26)</totalsRowFormula>
    </tableColumn>
    <tableColumn id="4" xr3:uid="{4127F65A-781B-4001-A538-CE0FE30E46CA}" name="Actual" totalsRowFunction="count" dataDxfId="273" totalsRowDxfId="274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4FF10AC-DAF3-465B-A80E-A2F959F2A350}" name="Savings_8" displayName="Savings_8" ref="U12:X27" totalsRowCount="1" headerRowDxfId="272" totalsRowDxfId="271" headerRowBorderDxfId="269" tableBorderDxfId="270" totalsRowBorderDxfId="268">
  <autoFilter ref="U12:X26" xr:uid="{B4BF81A8-B423-4B5B-B86F-3F525C6B18A9}"/>
  <tableColumns count="4">
    <tableColumn id="1" xr3:uid="{DF99C484-5593-4FC3-91EC-0E7CFFD80748}" name="Aim" totalsRowLabel="Total" dataDxfId="266" totalsRowDxfId="267"/>
    <tableColumn id="2" xr3:uid="{D26765B5-20E9-4632-A5CE-D47D3055486D}" name="Planned" totalsRowFunction="custom" dataDxfId="264" totalsRowDxfId="265">
      <totalsRowFormula>SUM(V13:V26)</totalsRowFormula>
    </tableColumn>
    <tableColumn id="3" xr3:uid="{0C8635E3-DF32-47B9-8892-55661458584C}" name="Actual" totalsRowFunction="sum" dataDxfId="262" totalsRowDxfId="263"/>
    <tableColumn id="4" xr3:uid="{DDE30FD0-6F1A-426A-BCE7-925C75841628}" name="Left" totalsRowFunction="custom" dataDxfId="260" totalsRowDxfId="261">
      <calculatedColumnFormula>Savings_8[[#This Row],[Planned]]-Savings_8[[#This Row],[Actual]]</calculatedColumnFormula>
      <totalsRowFormula>SUM(Savings_8[Left])</totalsRow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29AABCF-1EAD-4396-9D3E-23B3C67A4750}" name="Income_9" displayName="Income_9" ref="A12:D27" totalsRowCount="1" headerRowDxfId="259" totalsRowDxfId="258" headerRowBorderDxfId="256" tableBorderDxfId="257" totalsRowBorderDxfId="255">
  <autoFilter ref="A12:D26" xr:uid="{93B9FDA8-428F-476D-9993-DDB17573CCE8}"/>
  <tableColumns count="4">
    <tableColumn id="1" xr3:uid="{DE2E9D62-7F89-44EE-A240-F4B06386C59A}" name="Source" totalsRowLabel="Total" dataDxfId="253" totalsRowDxfId="254"/>
    <tableColumn id="2" xr3:uid="{C7974670-BE83-4339-832A-5433384FE981}" name="Planned" totalsRowFunction="custom" dataDxfId="251" totalsRowDxfId="252">
      <totalsRowFormula>SUM(B13:B26)</totalsRowFormula>
    </tableColumn>
    <tableColumn id="3" xr3:uid="{B643BA80-8304-4288-93A8-8579F4EE9E6B}" name="Actual" totalsRowFunction="custom" dataDxfId="249" totalsRowDxfId="250">
      <totalsRowFormula>SUM(Income_9[Actual])</totalsRowFormula>
    </tableColumn>
    <tableColumn id="4" xr3:uid="{2AFB9C1F-75A4-459F-AA31-90DCEA1D61CC}" name="Left" totalsRowFunction="sum" dataDxfId="247" totalsRowDxfId="248"/>
  </tableColumns>
  <tableStyleInfo name="Table Style Min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A647DC2-6C3A-4F0C-8600-96E84BB95276}" name="Expenses_9" displayName="Expenses_9" ref="F12:I27" totalsRowCount="1" headerRowDxfId="246" totalsRowDxfId="245" headerRowBorderDxfId="243" tableBorderDxfId="244" totalsRowBorderDxfId="242">
  <autoFilter ref="F12:I26" xr:uid="{24A8353D-9D5D-42AC-A175-10AA233D4CCC}"/>
  <tableColumns count="4">
    <tableColumn id="1" xr3:uid="{E647350F-BD3A-4543-82DC-1E848EC1C6CF}" name="Category" totalsRowLabel="Total" dataDxfId="240" totalsRowDxfId="241"/>
    <tableColumn id="2" xr3:uid="{5BBDABFC-7168-4D99-8DB7-65492E97E395}" name="Planned" totalsRowFunction="custom" dataDxfId="238" totalsRowDxfId="239" dataCellStyle="Currency">
      <totalsRowFormula>SUM(G13:G26)</totalsRowFormula>
    </tableColumn>
    <tableColumn id="3" xr3:uid="{3629CBB1-3789-47D5-B5B1-DF1C95BC9A32}" name="Actual" totalsRowFunction="custom" dataDxfId="236" totalsRowDxfId="237" dataCellStyle="Currency">
      <totalsRowFormula>SUM(H13:H26)</totalsRowFormula>
    </tableColumn>
    <tableColumn id="4" xr3:uid="{FDC57762-9EE3-4038-9E14-C9986DB6583B}" name="Left" totalsRowFunction="sum" dataDxfId="234" totalsRowDxfId="235" dataCellStyle="Currency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7D2FEECA-CFDC-41E9-8E5F-99AB9855BF43}" name="Bills_9" displayName="Bills_9" ref="K12:N27" totalsRowCount="1" headerRowDxfId="233" totalsRowDxfId="232" headerRowBorderDxfId="230" tableBorderDxfId="231" totalsRowBorderDxfId="229">
  <autoFilter ref="K12:N26" xr:uid="{EB5C5F31-13A9-4CEA-9193-37475751E1DB}"/>
  <tableColumns count="4">
    <tableColumn id="1" xr3:uid="{C7DC9973-3DE9-40B7-B6E6-F852E297143C}" name="Bill" totalsRowLabel="Total" dataDxfId="227" totalsRowDxfId="228"/>
    <tableColumn id="2" xr3:uid="{B0F0F2E1-D15E-458E-B10F-8CAC5C78F6F7}" name="Due" dataDxfId="225" totalsRowDxfId="226"/>
    <tableColumn id="3" xr3:uid="{7BB4CA1E-8A1A-4DA1-AE47-FCC27E204045}" name="Planned" totalsRowFunction="custom" dataDxfId="223" totalsRowDxfId="224" dataCellStyle="Currency">
      <totalsRowFormula>SUM(M13:M26)</totalsRowFormula>
    </tableColumn>
    <tableColumn id="4" xr3:uid="{ED95A97D-8995-4A34-AC4E-0287C29DD9AD}" name="Actual" totalsRowFunction="count" dataDxfId="221" totalsRowDxfId="222" dataCellStyle="Currency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A55F5B6-5A0E-4291-9948-B1246AE5E3CF}" name="Subscriptions_9" displayName="Subscriptions_9" ref="P12:S27" totalsRowCount="1" headerRowDxfId="220" totalsRowDxfId="219" headerRowBorderDxfId="217" tableBorderDxfId="218" totalsRowBorderDxfId="216">
  <autoFilter ref="P12:S26" xr:uid="{0E7F0D9A-AB58-44A4-9409-811D7CF48231}"/>
  <tableColumns count="4">
    <tableColumn id="1" xr3:uid="{D668FB22-7249-4078-9398-9514F78EEED8}" name="Service" totalsRowLabel="Total" dataDxfId="214" totalsRowDxfId="215"/>
    <tableColumn id="2" xr3:uid="{3935AC1E-6BE8-4962-A6E7-9E0DA25300D8}" name="Due" dataDxfId="212" totalsRowDxfId="213"/>
    <tableColumn id="3" xr3:uid="{CD5C2D11-1356-4D13-BC04-7790D43DB031}" name="Planned" totalsRowFunction="custom" dataDxfId="210" totalsRowDxfId="211">
      <totalsRowFormula>SUM(R13:R26)</totalsRowFormula>
    </tableColumn>
    <tableColumn id="4" xr3:uid="{F63DB9D9-FF71-4AB8-8F1C-BEB8F908E068}" name="Actual" totalsRowFunction="count" dataDxfId="208" totalsRowDxfId="209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D5E8A88-992A-4B75-A9E9-92FA03367449}" name="Savings_9" displayName="Savings_9" ref="U12:X27" totalsRowCount="1" headerRowDxfId="207" totalsRowDxfId="206" headerRowBorderDxfId="204" tableBorderDxfId="205" totalsRowBorderDxfId="203">
  <autoFilter ref="U12:X26" xr:uid="{B4BF81A8-B423-4B5B-B86F-3F525C6B18A9}"/>
  <tableColumns count="4">
    <tableColumn id="1" xr3:uid="{7A94779E-DDE2-49AA-A7A8-E6D4E3B2020A}" name="Aim" totalsRowLabel="Total" dataDxfId="201" totalsRowDxfId="202"/>
    <tableColumn id="2" xr3:uid="{4225F61E-58FC-4215-BBEE-C4183E246F96}" name="Planned" totalsRowFunction="custom" dataDxfId="199" totalsRowDxfId="200">
      <totalsRowFormula>SUM(V13:V26)</totalsRowFormula>
    </tableColumn>
    <tableColumn id="3" xr3:uid="{5C75E6F7-2CE9-4030-A770-FAFDDAD5F025}" name="Actual" totalsRowFunction="sum" dataDxfId="197" totalsRowDxfId="198"/>
    <tableColumn id="4" xr3:uid="{48BEE69C-D7F9-402E-A3F6-A3A9F9887A60}" name="Left" totalsRowFunction="custom" dataDxfId="195" totalsRowDxfId="196">
      <calculatedColumnFormula>Savings_9[[#This Row],[Planned]]-Savings_9[[#This Row],[Actual]]</calculatedColumnFormula>
      <totalsRowFormula>SUM(Savings_9[Left])</totalsRow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42A110D1-52DB-40F5-95F3-5E701C20CD25}" name="Income_10" displayName="Income_10" ref="A12:D27" totalsRowCount="1" headerRowDxfId="194" totalsRowDxfId="193" headerRowBorderDxfId="191" tableBorderDxfId="192" totalsRowBorderDxfId="190">
  <autoFilter ref="A12:D26" xr:uid="{93B9FDA8-428F-476D-9993-DDB17573CCE8}"/>
  <tableColumns count="4">
    <tableColumn id="1" xr3:uid="{91B1E7E2-B002-464B-A0C4-C425F290CA72}" name="Source" totalsRowLabel="Total" dataDxfId="188" totalsRowDxfId="189"/>
    <tableColumn id="2" xr3:uid="{1CF266DE-D7B7-4EC7-8FDA-3714AA435C7D}" name="Planned" totalsRowFunction="custom" dataDxfId="186" totalsRowDxfId="187">
      <totalsRowFormula>SUM(B13:B26)</totalsRowFormula>
    </tableColumn>
    <tableColumn id="3" xr3:uid="{CA4ED0C4-AA3C-417E-90D3-70925523063F}" name="Actual" totalsRowFunction="custom" dataDxfId="184" totalsRowDxfId="185">
      <totalsRowFormula>SUM(Income_10[Actual])</totalsRowFormula>
    </tableColumn>
    <tableColumn id="4" xr3:uid="{FD60B86B-1279-4536-BB24-71A12E656CFA}" name="Left" totalsRowFunction="sum" dataDxfId="182" totalsRowDxfId="183"/>
  </tableColumns>
  <tableStyleInfo name="Table Style Mine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37A4B327-4A77-4A3F-83EE-6E0D0861BD88}" name="Expenses_10" displayName="Expenses_10" ref="F12:I27" totalsRowCount="1" headerRowDxfId="181" totalsRowDxfId="180" headerRowBorderDxfId="178" tableBorderDxfId="179" totalsRowBorderDxfId="177">
  <autoFilter ref="F12:I26" xr:uid="{24A8353D-9D5D-42AC-A175-10AA233D4CCC}"/>
  <tableColumns count="4">
    <tableColumn id="1" xr3:uid="{70E1DAC8-36B7-41EB-BBA8-A9F4CC8F7295}" name="Category" totalsRowLabel="Total" dataDxfId="175" totalsRowDxfId="176"/>
    <tableColumn id="2" xr3:uid="{C0C224FF-0438-47CE-8F41-930D433A522E}" name="Planned" totalsRowFunction="custom" dataDxfId="173" totalsRowDxfId="174" dataCellStyle="Currency">
      <totalsRowFormula>SUM(G13:G26)</totalsRowFormula>
    </tableColumn>
    <tableColumn id="3" xr3:uid="{2235D1E8-F333-4D74-9641-753C73BF82E1}" name="Actual" totalsRowFunction="custom" dataDxfId="171" totalsRowDxfId="172" dataCellStyle="Currency">
      <totalsRowFormula>SUM(H13:H26)</totalsRowFormula>
    </tableColumn>
    <tableColumn id="4" xr3:uid="{44A7D496-1094-4246-B2BD-E180952F3FDE}" name="Left" totalsRowFunction="sum" dataDxfId="169" totalsRowDxfId="170" dataCellStyle="Currency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6D3AEB04-CD58-4467-AA7E-381105821AAB}" name="Bills_10" displayName="Bills_10" ref="K12:N27" totalsRowCount="1" headerRowDxfId="168" totalsRowDxfId="167" headerRowBorderDxfId="165" tableBorderDxfId="166" totalsRowBorderDxfId="164">
  <autoFilter ref="K12:N26" xr:uid="{EB5C5F31-13A9-4CEA-9193-37475751E1DB}"/>
  <tableColumns count="4">
    <tableColumn id="1" xr3:uid="{492DD50D-827E-4DF8-961E-4DCF1E328607}" name="Bill" totalsRowLabel="Total" dataDxfId="162" totalsRowDxfId="163"/>
    <tableColumn id="2" xr3:uid="{586A2708-F5FE-4AD2-90F4-77F4106871B1}" name="Due" dataDxfId="160" totalsRowDxfId="161"/>
    <tableColumn id="3" xr3:uid="{1EE72C2D-8A06-4247-B67F-B961A0F13D2D}" name="Planned" totalsRowFunction="custom" dataDxfId="158" totalsRowDxfId="159" dataCellStyle="Currency">
      <totalsRowFormula>SUM(M13:M26)</totalsRowFormula>
    </tableColumn>
    <tableColumn id="4" xr3:uid="{DA866F84-F4E3-4B3F-BFBB-D49BF61E7214}" name="Actual" totalsRowFunction="count" dataDxfId="156" totalsRowDxfId="157" dataCellStyle="Currency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771204-7362-4E88-8269-50320951B6B2}" name="Subscriptions_10" displayName="Subscriptions_10" ref="P12:S27" totalsRowCount="1" headerRowDxfId="155" totalsRowDxfId="154" headerRowBorderDxfId="152" tableBorderDxfId="153" totalsRowBorderDxfId="151">
  <autoFilter ref="P12:S26" xr:uid="{0E7F0D9A-AB58-44A4-9409-811D7CF48231}"/>
  <tableColumns count="4">
    <tableColumn id="1" xr3:uid="{6C2E2123-7DA5-4222-AC7C-626DB158ABC4}" name="Service" totalsRowLabel="Total" dataDxfId="149" totalsRowDxfId="150"/>
    <tableColumn id="2" xr3:uid="{360654E6-87B0-42AE-84C4-AD365DE44DAF}" name="Due" dataDxfId="147" totalsRowDxfId="148"/>
    <tableColumn id="3" xr3:uid="{620C9C94-C215-4FDF-9EFF-1F24747BD9C9}" name="Planned" totalsRowFunction="custom" dataDxfId="145" totalsRowDxfId="146">
      <totalsRowFormula>SUM(R13:R26)</totalsRowFormula>
    </tableColumn>
    <tableColumn id="4" xr3:uid="{68021C7D-40BA-4733-B7DD-BDBDAF94A42D}" name="Actual" totalsRowFunction="count" dataDxfId="143" totalsRowDxfId="144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B7406A4-296F-4726-AAB3-FB13E09DFD5C}" name="Savings_10" displayName="Savings_10" ref="U12:X27" totalsRowCount="1" headerRowDxfId="142" totalsRowDxfId="141" headerRowBorderDxfId="139" tableBorderDxfId="140" totalsRowBorderDxfId="138">
  <autoFilter ref="U12:X26" xr:uid="{B4BF81A8-B423-4B5B-B86F-3F525C6B18A9}"/>
  <tableColumns count="4">
    <tableColumn id="1" xr3:uid="{4FAF365E-8127-4744-A34D-5764A472BEDF}" name="Aim" totalsRowLabel="Total" dataDxfId="136" totalsRowDxfId="137"/>
    <tableColumn id="2" xr3:uid="{DB897014-DA09-4A52-9C80-03A59A0613D8}" name="Planned" totalsRowFunction="custom" dataDxfId="134" totalsRowDxfId="135">
      <totalsRowFormula>SUM(V13:V26)</totalsRowFormula>
    </tableColumn>
    <tableColumn id="3" xr3:uid="{97329FC5-E53F-4FE5-ABD1-8D9F8143DF23}" name="Actual" totalsRowFunction="sum" dataDxfId="132" totalsRowDxfId="133"/>
    <tableColumn id="4" xr3:uid="{3B50A70D-6310-4A6B-9F1C-6A9B5F266CDC}" name="Left" totalsRowFunction="custom" dataDxfId="130" totalsRowDxfId="131">
      <calculatedColumnFormula>Savings_10[[#This Row],[Planned]]-Savings_10[[#This Row],[Actual]]</calculatedColumnFormula>
      <totalsRowFormula>SUM(Savings_10[Left])</totalsRowFormula>
    </tableColumn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EF925CE-AD45-4128-A38E-054FE023BB2C}" name="Income_11" displayName="Income_11" ref="A12:D27" totalsRowCount="1" headerRowDxfId="129" totalsRowDxfId="128" headerRowBorderDxfId="126" tableBorderDxfId="127" totalsRowBorderDxfId="125">
  <autoFilter ref="A12:D26" xr:uid="{93B9FDA8-428F-476D-9993-DDB17573CCE8}"/>
  <tableColumns count="4">
    <tableColumn id="1" xr3:uid="{353DCCAC-8AC0-4390-B8F6-A97C070C7DF6}" name="Source" totalsRowLabel="Total" dataDxfId="123" totalsRowDxfId="124"/>
    <tableColumn id="2" xr3:uid="{A441AE9B-EE33-48B6-B869-EF1490FB3B0B}" name="Planned" totalsRowFunction="custom" dataDxfId="121" totalsRowDxfId="122">
      <totalsRowFormula>SUM(B13:B26)</totalsRowFormula>
    </tableColumn>
    <tableColumn id="3" xr3:uid="{88B56669-E43B-4F72-9956-C51C5BD5C54D}" name="Actual" totalsRowFunction="custom" dataDxfId="119" totalsRowDxfId="120">
      <totalsRowFormula>SUM(Income_11[Actual])</totalsRowFormula>
    </tableColumn>
    <tableColumn id="4" xr3:uid="{AB019466-5FC5-49F0-9351-74847839A19A}" name="Left" totalsRowFunction="sum" dataDxfId="117" totalsRowDxfId="118"/>
  </tableColumns>
  <tableStyleInfo name="Table Style Mine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6E0B25FF-5DED-4B43-BE8C-B7CE926E2E3D}" name="Expenses_11" displayName="Expenses_11" ref="F12:I27" totalsRowCount="1" headerRowDxfId="116" totalsRowDxfId="115" headerRowBorderDxfId="113" tableBorderDxfId="114" totalsRowBorderDxfId="112">
  <autoFilter ref="F12:I26" xr:uid="{24A8353D-9D5D-42AC-A175-10AA233D4CCC}"/>
  <tableColumns count="4">
    <tableColumn id="1" xr3:uid="{FA90E85D-85BC-4077-B6DC-31A8AA4CEFA6}" name="Category" totalsRowLabel="Total" dataDxfId="110" totalsRowDxfId="111"/>
    <tableColumn id="2" xr3:uid="{75605800-B969-4721-AD28-A1A7F6810E8A}" name="Planned" totalsRowFunction="custom" dataDxfId="108" totalsRowDxfId="109" dataCellStyle="Currency">
      <totalsRowFormula>SUM(G13:G26)</totalsRowFormula>
    </tableColumn>
    <tableColumn id="3" xr3:uid="{8E059F63-A623-4C82-B9D6-849D41B4D249}" name="Actual" totalsRowFunction="custom" dataDxfId="106" totalsRowDxfId="107" dataCellStyle="Currency">
      <totalsRowFormula>SUM(H13:H26)</totalsRowFormula>
    </tableColumn>
    <tableColumn id="4" xr3:uid="{5A81C213-0991-4F0F-A9A2-82BA8CD2BEDE}" name="Left" totalsRowFunction="sum" dataDxfId="104" totalsRowDxfId="105" dataCellStyle="Currency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7830855-F4C3-49C2-A6A2-CA136F646257}" name="Bills_11" displayName="Bills_11" ref="K12:N27" totalsRowCount="1" headerRowDxfId="103" totalsRowDxfId="102" headerRowBorderDxfId="100" tableBorderDxfId="101" totalsRowBorderDxfId="99">
  <autoFilter ref="K12:N26" xr:uid="{EB5C5F31-13A9-4CEA-9193-37475751E1DB}"/>
  <tableColumns count="4">
    <tableColumn id="1" xr3:uid="{A591CBA5-F1EB-48D8-8831-799229045FB1}" name="Bill" totalsRowLabel="Total" dataDxfId="97" totalsRowDxfId="98"/>
    <tableColumn id="2" xr3:uid="{836C47B1-5E01-44BD-A340-9A94C2A1C062}" name="Due" dataDxfId="95" totalsRowDxfId="96"/>
    <tableColumn id="3" xr3:uid="{3848F876-F5FE-455C-92F1-BD7E54F0BCDD}" name="Planned" totalsRowFunction="custom" dataDxfId="93" totalsRowDxfId="94" dataCellStyle="Currency">
      <totalsRowFormula>SUM(M13:M26)</totalsRowFormula>
    </tableColumn>
    <tableColumn id="4" xr3:uid="{BB791E96-2635-4A8D-B4FF-1BD232F826EF}" name="Actual" totalsRowFunction="count" dataDxfId="91" totalsRowDxfId="92" dataCellStyle="Currency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19583FE-0C4E-4DCC-9E3D-A524B84957D4}" name="Subscriptions_11" displayName="Subscriptions_11" ref="P12:S27" totalsRowCount="1" headerRowDxfId="90" totalsRowDxfId="89" headerRowBorderDxfId="87" tableBorderDxfId="88" totalsRowBorderDxfId="86">
  <autoFilter ref="P12:S26" xr:uid="{0E7F0D9A-AB58-44A4-9409-811D7CF48231}"/>
  <tableColumns count="4">
    <tableColumn id="1" xr3:uid="{892AA41F-6FCB-45CF-80E0-4EE13A9D4AF9}" name="Service" totalsRowLabel="Total" dataDxfId="84" totalsRowDxfId="85"/>
    <tableColumn id="2" xr3:uid="{89AEAC8C-54E5-47C7-AC49-647FEC9CE667}" name="Due" dataDxfId="82" totalsRowDxfId="83"/>
    <tableColumn id="3" xr3:uid="{11A1B06F-8351-4BAB-846B-DFA2039D84C1}" name="Planned" totalsRowFunction="custom" dataDxfId="80" totalsRowDxfId="81">
      <totalsRowFormula>SUM(R13:R26)</totalsRowFormula>
    </tableColumn>
    <tableColumn id="4" xr3:uid="{CE3801BD-2357-4411-8045-C09D077C1281}" name="Actual" totalsRowFunction="count" dataDxfId="78" totalsRowDxfId="79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FF2B26D-C0AE-4635-BF38-914625A5C656}" name="Savings_11" displayName="Savings_11" ref="U12:X27" totalsRowCount="1" headerRowDxfId="77" totalsRowDxfId="76" headerRowBorderDxfId="74" tableBorderDxfId="75" totalsRowBorderDxfId="73">
  <autoFilter ref="U12:X26" xr:uid="{B4BF81A8-B423-4B5B-B86F-3F525C6B18A9}"/>
  <tableColumns count="4">
    <tableColumn id="1" xr3:uid="{22F0782E-CE43-48EF-AF39-51943DC7EE4B}" name="Aim" totalsRowLabel="Total" dataDxfId="71" totalsRowDxfId="72"/>
    <tableColumn id="2" xr3:uid="{6778D836-278F-4D5F-9FEF-8B7130EF1D41}" name="Planned" totalsRowFunction="custom" dataDxfId="69" totalsRowDxfId="70">
      <totalsRowFormula>SUM(V13:V26)</totalsRowFormula>
    </tableColumn>
    <tableColumn id="3" xr3:uid="{A0493F2C-4C11-4BC3-AEAE-5E984FA20410}" name="Actual" totalsRowFunction="sum" dataDxfId="67" totalsRowDxfId="68"/>
    <tableColumn id="4" xr3:uid="{B0CAA567-9937-4FEF-BC19-5DF2BCF8E1B4}" name="Left" totalsRowFunction="custom" dataDxfId="65" totalsRowDxfId="66">
      <calculatedColumnFormula>Savings_11[[#This Row],[Planned]]-Savings_11[[#This Row],[Actual]]</calculatedColumnFormula>
      <totalsRowFormula>SUM(Savings_11[Left])</totalsRowFormula>
    </tableColumn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1CEC7523-C23F-41C0-9B8F-B003C3C00235}" name="Income_12" displayName="Income_12" ref="A12:D27" totalsRowCount="1" headerRowDxfId="64" totalsRowDxfId="63" headerRowBorderDxfId="61" tableBorderDxfId="62" totalsRowBorderDxfId="60">
  <autoFilter ref="A12:D26" xr:uid="{93B9FDA8-428F-476D-9993-DDB17573CCE8}"/>
  <tableColumns count="4">
    <tableColumn id="1" xr3:uid="{5A95F0AD-168A-4976-AB82-2E355CB83B01}" name="Source" totalsRowLabel="Total" dataDxfId="58" totalsRowDxfId="59"/>
    <tableColumn id="2" xr3:uid="{DF420891-EFE0-4035-9EB3-C271695249FF}" name="Planned" totalsRowFunction="custom" dataDxfId="56" totalsRowDxfId="57">
      <totalsRowFormula>SUM(B13:B26)</totalsRowFormula>
    </tableColumn>
    <tableColumn id="3" xr3:uid="{66061383-DBA7-4F72-825F-F2B7E4544CE9}" name="Actual" totalsRowFunction="custom" dataDxfId="54" totalsRowDxfId="55">
      <totalsRowFormula>SUM(Income_12[Actual])</totalsRowFormula>
    </tableColumn>
    <tableColumn id="4" xr3:uid="{425222A1-11CE-4031-AAE0-1298A71BAD81}" name="Left" totalsRowFunction="sum" dataDxfId="52" totalsRowDxfId="53"/>
  </tableColumns>
  <tableStyleInfo name="Table Style Mine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BCB71D-0D62-43BE-AEFB-F406EDADE3BC}" name="Expenses_12" displayName="Expenses_12" ref="F12:I27" totalsRowCount="1" headerRowDxfId="51" totalsRowDxfId="50" headerRowBorderDxfId="48" tableBorderDxfId="49" totalsRowBorderDxfId="47">
  <autoFilter ref="F12:I26" xr:uid="{24A8353D-9D5D-42AC-A175-10AA233D4CCC}"/>
  <tableColumns count="4">
    <tableColumn id="1" xr3:uid="{603CB86A-D6F1-4507-804C-0324E5AA9074}" name="Category" totalsRowLabel="Total" dataDxfId="45" totalsRowDxfId="46"/>
    <tableColumn id="2" xr3:uid="{95AF0E48-20FB-4C1B-B0B1-24C3CF462B00}" name="Planned" totalsRowFunction="custom" dataDxfId="43" totalsRowDxfId="44" dataCellStyle="Currency">
      <totalsRowFormula>SUM(G13:G26)</totalsRowFormula>
    </tableColumn>
    <tableColumn id="3" xr3:uid="{576B5BE0-A4A9-432E-A673-34B962E0C9D2}" name="Actual" totalsRowFunction="custom" dataDxfId="41" totalsRowDxfId="42" dataCellStyle="Currency">
      <totalsRowFormula>SUM(H13:H26)</totalsRowFormula>
    </tableColumn>
    <tableColumn id="4" xr3:uid="{4798375E-D41A-4B7B-A78C-B907226CC20F}" name="Left" totalsRowFunction="sum" dataDxfId="39" totalsRowDxfId="40" dataCellStyle="Currency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F854AF4-5A6F-4CC6-9679-0AAD37C505DC}" name="Bills_12" displayName="Bills_12" ref="K12:N27" totalsRowCount="1" headerRowDxfId="38" totalsRowDxfId="37" headerRowBorderDxfId="35" tableBorderDxfId="36" totalsRowBorderDxfId="34">
  <autoFilter ref="K12:N26" xr:uid="{EB5C5F31-13A9-4CEA-9193-37475751E1DB}"/>
  <tableColumns count="4">
    <tableColumn id="1" xr3:uid="{3C94671A-BA93-412A-B502-995B4A6C3018}" name="Bill" totalsRowLabel="Total" dataDxfId="32" totalsRowDxfId="33"/>
    <tableColumn id="2" xr3:uid="{E1F6094C-70A7-4D44-AC48-3DC7076F4A41}" name="Due" dataDxfId="30" totalsRowDxfId="31"/>
    <tableColumn id="3" xr3:uid="{1B163AD4-B853-4960-A652-8E97973054BA}" name="Planned" totalsRowFunction="custom" dataDxfId="28" totalsRowDxfId="29" dataCellStyle="Currency">
      <totalsRowFormula>SUM(M13:M26)</totalsRowFormula>
    </tableColumn>
    <tableColumn id="4" xr3:uid="{BC344913-1862-424E-888C-11AE61A119C9}" name="Actual" totalsRowFunction="count" dataDxfId="26" totalsRowDxfId="27" dataCellStyle="Currency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F158153E-36FD-46EF-A533-5CACF3A8CBA5}" name="Subscriptions_12" displayName="Subscriptions_12" ref="P12:S27" totalsRowCount="1" headerRowDxfId="25" totalsRowDxfId="24" headerRowBorderDxfId="22" tableBorderDxfId="23" totalsRowBorderDxfId="21">
  <autoFilter ref="P12:S26" xr:uid="{0E7F0D9A-AB58-44A4-9409-811D7CF48231}"/>
  <tableColumns count="4">
    <tableColumn id="1" xr3:uid="{50C72A42-8070-4E3B-A31E-F9946F3ECC10}" name="Service" totalsRowLabel="Total" dataDxfId="19" totalsRowDxfId="20"/>
    <tableColumn id="2" xr3:uid="{429502BF-FD19-410C-A74D-D8AB656F064B}" name="Due" dataDxfId="17" totalsRowDxfId="18"/>
    <tableColumn id="3" xr3:uid="{BA308BBC-409C-496A-AF98-888A2FDB85F8}" name="Planned" totalsRowFunction="custom" dataDxfId="15" totalsRowDxfId="16">
      <totalsRowFormula>SUM(R13:R26)</totalsRowFormula>
    </tableColumn>
    <tableColumn id="4" xr3:uid="{103DD5D0-F4B8-4F1A-A014-5F8B67048AB4}" name="Actual" totalsRowFunction="count" dataDxfId="13" totalsRowDxfId="14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64F001C1-7266-45D3-8DB2-1098139ACC5B}" name="Savings_12" displayName="Savings_12" ref="U12:X27" totalsRowCount="1" headerRowDxfId="12" totalsRowDxfId="11" headerRowBorderDxfId="9" tableBorderDxfId="10" totalsRowBorderDxfId="8">
  <autoFilter ref="U12:X26" xr:uid="{B4BF81A8-B423-4B5B-B86F-3F525C6B18A9}"/>
  <tableColumns count="4">
    <tableColumn id="1" xr3:uid="{E085881E-0F5E-4F3D-BB27-2884016096DA}" name="Aim" totalsRowLabel="Total" dataDxfId="6" totalsRowDxfId="7"/>
    <tableColumn id="2" xr3:uid="{2070BC06-9952-44F1-9570-7E04D33274C5}" name="Planned" totalsRowFunction="custom" dataDxfId="4" totalsRowDxfId="5">
      <totalsRowFormula>SUM(V13:V26)</totalsRowFormula>
    </tableColumn>
    <tableColumn id="3" xr3:uid="{99E90D46-89CB-40E8-B99E-5267ECA72FF4}" name="Actual" totalsRowFunction="sum" dataDxfId="2" totalsRowDxfId="3"/>
    <tableColumn id="4" xr3:uid="{24A1C07C-F12A-44DC-AD70-9C16CCD2977E}" name="Left" totalsRowFunction="custom" dataDxfId="0" totalsRowDxfId="1">
      <calculatedColumnFormula>Savings_12[[#This Row],[Planned]]-Savings_12[[#This Row],[Actual]]</calculatedColumnFormula>
      <totalsRowFormula>SUM(Savings_12[Left])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Aspek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3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4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5.xml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drawing" Target="../drawings/drawing6.xml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drawing" Target="../drawings/drawing7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drawing" Target="../drawings/drawing8.xml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drawing" Target="../drawings/drawing9.xml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drawing" Target="../drawings/drawing10.xml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drawing" Target="../drawings/drawing11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drawing" Target="../drawings/drawing12.xml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CB483-69A1-40A7-B143-580A9C6FC79C}">
  <sheetPr codeName="Sheet1"/>
  <dimension ref="A1:X27"/>
  <sheetViews>
    <sheetView zoomScale="145" zoomScaleNormal="145" workbookViewId="0">
      <selection activeCell="D5" sqref="D5:D7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1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250</v>
      </c>
      <c r="D13" s="17">
        <f ca="1">C13-B13</f>
        <v>-2250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45667</v>
      </c>
      <c r="M13" s="8">
        <v>1500</v>
      </c>
      <c r="N13" s="30"/>
      <c r="P13" s="38" t="s">
        <v>18</v>
      </c>
      <c r="Q13" s="15">
        <f ca="1">DATE(2025,$A$2,5)</f>
        <v>45662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Savings_1[[#This Row],[Planned]]-Savings_1[[#This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105.5</v>
      </c>
      <c r="D14" s="17">
        <f t="shared" ref="D14:D18" ca="1" si="1">C14-B14</f>
        <v>-194.5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80</v>
      </c>
      <c r="I14" s="22">
        <f t="shared" ref="I14:I21" ca="1" si="2">G14-H14</f>
        <v>120</v>
      </c>
      <c r="K14" s="29" t="s">
        <v>17</v>
      </c>
      <c r="L14" s="14">
        <f ca="1">DATE(2025,$A$2,15)</f>
        <v>45672</v>
      </c>
      <c r="M14" s="8">
        <v>80</v>
      </c>
      <c r="N14" s="30"/>
      <c r="P14" s="38" t="s">
        <v>14</v>
      </c>
      <c r="Q14" s="15">
        <f ca="1">DATE(2025,$A$2,24)</f>
        <v>45681</v>
      </c>
      <c r="R14" s="5">
        <v>33</v>
      </c>
      <c r="S14" s="39"/>
      <c r="U14" s="47" t="s">
        <v>39</v>
      </c>
      <c r="V14" s="9">
        <v>800</v>
      </c>
      <c r="W14" s="48"/>
      <c r="X14" s="9">
        <f>Savings_1[[#This Row],[Planned]]-Savings_1[[#This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85</v>
      </c>
      <c r="I15" s="22">
        <f t="shared" ca="1" si="2"/>
        <v>215</v>
      </c>
      <c r="K15" s="29" t="s">
        <v>20</v>
      </c>
      <c r="L15" s="14">
        <f t="shared" ref="L15:L16" ca="1" si="3">DATE(2025,$A$2,10)</f>
        <v>45667</v>
      </c>
      <c r="M15" s="8">
        <v>35</v>
      </c>
      <c r="N15" s="30"/>
      <c r="P15" s="38" t="s">
        <v>36</v>
      </c>
      <c r="Q15" s="15">
        <f ca="1">DATE(2025,$A$2,2)</f>
        <v>45659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Savings_1[[#This Row],[Planned]]-Savings_1[[#This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800</v>
      </c>
      <c r="D16" s="17">
        <f t="shared" ca="1" si="1"/>
        <v>700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1715</v>
      </c>
      <c r="I16" s="22">
        <f t="shared" ca="1" si="2"/>
        <v>-965</v>
      </c>
      <c r="K16" s="29" t="s">
        <v>19</v>
      </c>
      <c r="L16" s="14">
        <f t="shared" ca="1" si="3"/>
        <v>45667</v>
      </c>
      <c r="M16" s="8">
        <v>25</v>
      </c>
      <c r="N16" s="30"/>
      <c r="P16" s="38" t="s">
        <v>21</v>
      </c>
      <c r="Q16" s="15">
        <f ca="1">DATE(2025,$A$2,21)</f>
        <v>45678</v>
      </c>
      <c r="R16" s="5">
        <v>100</v>
      </c>
      <c r="S16" s="39"/>
      <c r="U16" s="47"/>
      <c r="V16" s="9"/>
      <c r="W16" s="48"/>
      <c r="X16" s="9">
        <f>Savings_1[[#This Row],[Planned]]-Savings_1[[#This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100</v>
      </c>
      <c r="I17" s="22">
        <f t="shared" ca="1" si="2"/>
        <v>30</v>
      </c>
      <c r="K17" s="29" t="s">
        <v>22</v>
      </c>
      <c r="L17" s="14">
        <f ca="1">DATE(2025,$A$2,28)</f>
        <v>45685</v>
      </c>
      <c r="M17" s="8">
        <v>35</v>
      </c>
      <c r="N17" s="30"/>
      <c r="P17" s="38" t="s">
        <v>37</v>
      </c>
      <c r="Q17" s="15">
        <f ca="1">DATE(2025,$A$2,12)</f>
        <v>45669</v>
      </c>
      <c r="R17" s="5">
        <v>42.69</v>
      </c>
      <c r="S17" s="39"/>
      <c r="U17" s="47"/>
      <c r="V17" s="9"/>
      <c r="W17" s="48"/>
      <c r="X17" s="9">
        <f>Savings_1[[#This Row],[Planned]]-Savings_1[[#This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150</v>
      </c>
      <c r="I18" s="22">
        <f t="shared" ca="1" si="2"/>
        <v>-20</v>
      </c>
      <c r="K18" s="29" t="s">
        <v>24</v>
      </c>
      <c r="L18" s="14">
        <f ca="1">DATE(2025,$A$2,20)</f>
        <v>45677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Savings_1[[#This Row],[Planned]]-Savings_1[[#This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500</v>
      </c>
      <c r="I19" s="22">
        <f t="shared" ca="1" si="2"/>
        <v>-300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Savings_1[[#This Row],[Planned]]-Savings_1[[#This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100</v>
      </c>
      <c r="I20" s="22">
        <f t="shared" ca="1" si="2"/>
        <v>100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Savings_1[[#This Row],[Planned]]-Savings_1[[#This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80</v>
      </c>
      <c r="I21" s="22">
        <f t="shared" ca="1" si="2"/>
        <v>70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Savings_1[[#This Row],[Planned]]-Savings_1[[#This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Savings_1[[#This Row],[Planned]]-Savings_1[[#This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Savings_1[[#This Row],[Planned]]-Savings_1[[#This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Savings_1[[#This Row],[Planned]]-Savings_1[[#This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Savings_1[[#This Row],[Planned]]-Savings_1[[#This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Savings_1[[#This Row],[Planned]]-Savings_1[[#This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SUM(Income_1[Actual])</f>
        <v>5655.5</v>
      </c>
      <c r="D27" s="63">
        <f ca="1">SUBTOTAL(109,Income_1[Left])</f>
        <v>-44.5</v>
      </c>
      <c r="F27" s="58" t="s">
        <v>45</v>
      </c>
      <c r="G27" s="59">
        <f>SUM(G13:G26)</f>
        <v>3795</v>
      </c>
      <c r="H27" s="59">
        <f ca="1">SUM(H13:H26)</f>
        <v>4810</v>
      </c>
      <c r="I27" s="60">
        <f ca="1">SUBTOTAL(109,Expenses_1[Left])</f>
        <v>-1015</v>
      </c>
      <c r="K27" s="64" t="s">
        <v>45</v>
      </c>
      <c r="L27" s="65"/>
      <c r="M27" s="66">
        <f>SUM(M13:M26)</f>
        <v>1735</v>
      </c>
      <c r="N27" s="67">
        <f>SUBTOTAL(103,Bills_1[Actual])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SUBTOTAL(103,Subscriptions_1[Actual])</f>
        <v>0</v>
      </c>
      <c r="U27" s="72" t="s">
        <v>45</v>
      </c>
      <c r="V27" s="73">
        <f>SUM(V13:V26)</f>
        <v>1905</v>
      </c>
      <c r="W27" s="74">
        <f>SUBTOTAL(109,Savings_1[Actual])</f>
        <v>0</v>
      </c>
      <c r="X27" s="10">
        <f>SUM(Savings_1[Left])</f>
        <v>1905</v>
      </c>
    </row>
  </sheetData>
  <mergeCells count="7">
    <mergeCell ref="U11:X11"/>
    <mergeCell ref="P11:S11"/>
    <mergeCell ref="F11:I11"/>
    <mergeCell ref="A1:D1"/>
    <mergeCell ref="A2:D2"/>
    <mergeCell ref="A11:D11"/>
    <mergeCell ref="K11:N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B0FF-E094-41E8-B4B1-DF6B1A2864D1}">
  <sheetPr codeName="Sheet2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2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45698</v>
      </c>
      <c r="M13" s="8">
        <v>1500</v>
      </c>
      <c r="N13" s="30"/>
      <c r="P13" s="38" t="s">
        <v>18</v>
      </c>
      <c r="Q13" s="15">
        <f ca="1">DATE(2025,$A$2,5)</f>
        <v>45693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Savings_2[[#This Row],[Planned]]-Savings_2[[#This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115</v>
      </c>
      <c r="D14" s="17">
        <f t="shared" ref="D14:D18" ca="1" si="1">C14-B14</f>
        <v>-185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0</v>
      </c>
      <c r="I14" s="22">
        <f t="shared" ref="I14:I21" ca="1" si="2">G14-H14</f>
        <v>200</v>
      </c>
      <c r="K14" s="29" t="s">
        <v>17</v>
      </c>
      <c r="L14" s="14">
        <f ca="1">DATE(2025,$A$2,15)</f>
        <v>45703</v>
      </c>
      <c r="M14" s="8">
        <v>80</v>
      </c>
      <c r="N14" s="30"/>
      <c r="P14" s="38" t="s">
        <v>14</v>
      </c>
      <c r="Q14" s="15">
        <f ca="1">DATE(2025,$A$2,24)</f>
        <v>45712</v>
      </c>
      <c r="R14" s="5">
        <v>33</v>
      </c>
      <c r="S14" s="39"/>
      <c r="U14" s="47" t="s">
        <v>39</v>
      </c>
      <c r="V14" s="9">
        <v>800</v>
      </c>
      <c r="W14" s="48"/>
      <c r="X14" s="9">
        <f>Savings_2[[#This Row],[Planned]]-Savings_2[[#This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350</v>
      </c>
      <c r="I15" s="22">
        <f t="shared" ca="1" si="2"/>
        <v>-50</v>
      </c>
      <c r="K15" s="29" t="s">
        <v>20</v>
      </c>
      <c r="L15" s="14">
        <f t="shared" ref="L15:L16" ca="1" si="3">DATE(2025,$A$2,10)</f>
        <v>45698</v>
      </c>
      <c r="M15" s="8">
        <v>35</v>
      </c>
      <c r="N15" s="30"/>
      <c r="P15" s="38" t="s">
        <v>36</v>
      </c>
      <c r="Q15" s="15">
        <f ca="1">DATE(2025,$A$2,2)</f>
        <v>45690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Savings_2[[#This Row],[Planned]]-Savings_2[[#This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1950</v>
      </c>
      <c r="D16" s="17">
        <f t="shared" ca="1" si="1"/>
        <v>1850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405.5</v>
      </c>
      <c r="I16" s="22">
        <f t="shared" ca="1" si="2"/>
        <v>344.5</v>
      </c>
      <c r="K16" s="29" t="s">
        <v>19</v>
      </c>
      <c r="L16" s="14">
        <f t="shared" ca="1" si="3"/>
        <v>45698</v>
      </c>
      <c r="M16" s="8">
        <v>25</v>
      </c>
      <c r="N16" s="30"/>
      <c r="P16" s="38" t="s">
        <v>21</v>
      </c>
      <c r="Q16" s="15">
        <f ca="1">DATE(2025,$A$2,21)</f>
        <v>45709</v>
      </c>
      <c r="R16" s="5">
        <v>100</v>
      </c>
      <c r="S16" s="39"/>
      <c r="U16" s="47"/>
      <c r="V16" s="9"/>
      <c r="W16" s="48"/>
      <c r="X16" s="9">
        <f>Savings_2[[#This Row],[Planned]]-Savings_2[[#This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250</v>
      </c>
      <c r="I17" s="22">
        <f t="shared" ca="1" si="2"/>
        <v>-120</v>
      </c>
      <c r="K17" s="29" t="s">
        <v>22</v>
      </c>
      <c r="L17" s="14">
        <f ca="1">DATE(2025,$A$2,28)</f>
        <v>45716</v>
      </c>
      <c r="M17" s="8">
        <v>35</v>
      </c>
      <c r="N17" s="30"/>
      <c r="P17" s="38" t="s">
        <v>37</v>
      </c>
      <c r="Q17" s="15">
        <f ca="1">DATE(2025,$A$2,12)</f>
        <v>45700</v>
      </c>
      <c r="R17" s="5">
        <v>42.69</v>
      </c>
      <c r="S17" s="39"/>
      <c r="U17" s="47"/>
      <c r="V17" s="9"/>
      <c r="W17" s="48"/>
      <c r="X17" s="9">
        <f>Savings_2[[#This Row],[Planned]]-Savings_2[[#This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150</v>
      </c>
      <c r="I18" s="22">
        <f t="shared" ca="1" si="2"/>
        <v>-20</v>
      </c>
      <c r="K18" s="29" t="s">
        <v>24</v>
      </c>
      <c r="L18" s="14">
        <f ca="1">DATE(2025,$A$2,20)</f>
        <v>45708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Savings_2[[#This Row],[Planned]]-Savings_2[[#This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765</v>
      </c>
      <c r="I19" s="22">
        <f t="shared" ca="1" si="2"/>
        <v>-565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Savings_2[[#This Row],[Planned]]-Savings_2[[#This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100</v>
      </c>
      <c r="I20" s="22">
        <f t="shared" ca="1" si="2"/>
        <v>100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Savings_2[[#This Row],[Planned]]-Savings_2[[#This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80</v>
      </c>
      <c r="I21" s="22">
        <f t="shared" ca="1" si="2"/>
        <v>70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Savings_2[[#This Row],[Planned]]-Savings_2[[#This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Savings_2[[#This Row],[Planned]]-Savings_2[[#This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Savings_2[[#This Row],[Planned]]-Savings_2[[#This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Savings_2[[#This Row],[Planned]]-Savings_2[[#This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Savings_2[[#This Row],[Planned]]-Savings_2[[#This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Savings_2[[#This Row],[Planned]]-Savings_2[[#This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SUM(Income_2[Actual])</f>
        <v>6565</v>
      </c>
      <c r="D27" s="63">
        <f ca="1">SUBTOTAL(109,Income_2[Left])</f>
        <v>865</v>
      </c>
      <c r="F27" s="58" t="s">
        <v>45</v>
      </c>
      <c r="G27" s="59">
        <f>SUM(G13:G26)</f>
        <v>3795</v>
      </c>
      <c r="H27" s="59">
        <f ca="1">SUM(H13:H26)</f>
        <v>4100.5</v>
      </c>
      <c r="I27" s="60">
        <f ca="1">SUBTOTAL(109,Expenses_2[Left])</f>
        <v>-305.5</v>
      </c>
      <c r="K27" s="64" t="s">
        <v>45</v>
      </c>
      <c r="L27" s="65"/>
      <c r="M27" s="66">
        <f>SUM(M13:M26)</f>
        <v>1735</v>
      </c>
      <c r="N27" s="67">
        <f>SUBTOTAL(103,Bills_2[Actual])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SUBTOTAL(103,Subscriptions_2[Actual])</f>
        <v>0</v>
      </c>
      <c r="U27" s="72" t="s">
        <v>45</v>
      </c>
      <c r="V27" s="73">
        <f>SUM(V13:V26)</f>
        <v>1905</v>
      </c>
      <c r="W27" s="74">
        <f>SUBTOTAL(109,Savings_2[Actual])</f>
        <v>0</v>
      </c>
      <c r="X27" s="10">
        <f>SUM(Savings_2[Left])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BC14C-A06A-45BA-9E48-C14CBA231F0F}">
  <sheetPr codeName="Sheet3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3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45726</v>
      </c>
      <c r="M13" s="8">
        <v>1500</v>
      </c>
      <c r="N13" s="30"/>
      <c r="P13" s="38" t="s">
        <v>18</v>
      </c>
      <c r="Q13" s="15">
        <f ca="1">DATE(2025,$A$2,5)</f>
        <v>45721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Savings_3[[#This Row],[Planned]]-Savings_3[[#This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150</v>
      </c>
      <c r="D14" s="17">
        <f t="shared" ref="D14:D18" ca="1" si="1">C14-B14</f>
        <v>-150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469.9</v>
      </c>
      <c r="I14" s="22">
        <f t="shared" ref="I14:I21" ca="1" si="2">G14-H14</f>
        <v>-269.89999999999998</v>
      </c>
      <c r="K14" s="29" t="s">
        <v>17</v>
      </c>
      <c r="L14" s="14">
        <f ca="1">DATE(2025,$A$2,15)</f>
        <v>45731</v>
      </c>
      <c r="M14" s="8">
        <v>80</v>
      </c>
      <c r="N14" s="30"/>
      <c r="P14" s="38" t="s">
        <v>14</v>
      </c>
      <c r="Q14" s="15">
        <f ca="1">DATE(2025,$A$2,24)</f>
        <v>45740</v>
      </c>
      <c r="R14" s="5">
        <v>33</v>
      </c>
      <c r="S14" s="39"/>
      <c r="U14" s="47" t="s">
        <v>39</v>
      </c>
      <c r="V14" s="9">
        <v>800</v>
      </c>
      <c r="W14" s="48"/>
      <c r="X14" s="9">
        <f>Savings_3[[#This Row],[Planned]]-Savings_3[[#This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5</v>
      </c>
      <c r="D15" s="17">
        <f t="shared" ca="1" si="1"/>
        <v>-495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200</v>
      </c>
      <c r="I15" s="22">
        <f t="shared" ca="1" si="2"/>
        <v>100</v>
      </c>
      <c r="K15" s="29" t="s">
        <v>20</v>
      </c>
      <c r="L15" s="14">
        <f t="shared" ref="L15:L16" ca="1" si="3">DATE(2025,$A$2,10)</f>
        <v>45726</v>
      </c>
      <c r="M15" s="8">
        <v>35</v>
      </c>
      <c r="N15" s="30"/>
      <c r="P15" s="38" t="s">
        <v>36</v>
      </c>
      <c r="Q15" s="15">
        <f ca="1">DATE(2025,$A$2,2)</f>
        <v>45718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Savings_3[[#This Row],[Planned]]-Savings_3[[#This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734.99</v>
      </c>
      <c r="I16" s="22">
        <f t="shared" ca="1" si="2"/>
        <v>15.009999999999991</v>
      </c>
      <c r="K16" s="29" t="s">
        <v>19</v>
      </c>
      <c r="L16" s="14">
        <f t="shared" ca="1" si="3"/>
        <v>45726</v>
      </c>
      <c r="M16" s="8">
        <v>25</v>
      </c>
      <c r="N16" s="30"/>
      <c r="P16" s="38" t="s">
        <v>21</v>
      </c>
      <c r="Q16" s="15">
        <f ca="1">DATE(2025,$A$2,21)</f>
        <v>45737</v>
      </c>
      <c r="R16" s="5">
        <v>100</v>
      </c>
      <c r="S16" s="39"/>
      <c r="U16" s="47"/>
      <c r="V16" s="9"/>
      <c r="W16" s="48"/>
      <c r="X16" s="9">
        <f>Savings_3[[#This Row],[Planned]]-Savings_3[[#This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9.5</v>
      </c>
      <c r="I17" s="22">
        <f t="shared" ca="1" si="2"/>
        <v>120.5</v>
      </c>
      <c r="K17" s="29" t="s">
        <v>22</v>
      </c>
      <c r="L17" s="14">
        <f ca="1">DATE(2025,$A$2,28)</f>
        <v>45744</v>
      </c>
      <c r="M17" s="8">
        <v>35</v>
      </c>
      <c r="N17" s="30"/>
      <c r="P17" s="38" t="s">
        <v>37</v>
      </c>
      <c r="Q17" s="15">
        <f ca="1">DATE(2025,$A$2,12)</f>
        <v>45728</v>
      </c>
      <c r="R17" s="5">
        <v>42.69</v>
      </c>
      <c r="S17" s="39"/>
      <c r="U17" s="47"/>
      <c r="V17" s="9"/>
      <c r="W17" s="48"/>
      <c r="X17" s="9">
        <f>Savings_3[[#This Row],[Planned]]-Savings_3[[#This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23</v>
      </c>
      <c r="I18" s="22">
        <f t="shared" ca="1" si="2"/>
        <v>107</v>
      </c>
      <c r="K18" s="29" t="s">
        <v>24</v>
      </c>
      <c r="L18" s="14">
        <f ca="1">DATE(2025,$A$2,20)</f>
        <v>45736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Savings_3[[#This Row],[Planned]]-Savings_3[[#This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300</v>
      </c>
      <c r="I19" s="22">
        <f t="shared" ca="1" si="2"/>
        <v>-100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Savings_3[[#This Row],[Planned]]-Savings_3[[#This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79.5</v>
      </c>
      <c r="I20" s="22">
        <f t="shared" ca="1" si="2"/>
        <v>120.5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Savings_3[[#This Row],[Planned]]-Savings_3[[#This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82.5</v>
      </c>
      <c r="I21" s="22">
        <f t="shared" ca="1" si="2"/>
        <v>67.5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Savings_3[[#This Row],[Planned]]-Savings_3[[#This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Savings_3[[#This Row],[Planned]]-Savings_3[[#This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Savings_3[[#This Row],[Planned]]-Savings_3[[#This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Savings_3[[#This Row],[Planned]]-Savings_3[[#This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Savings_3[[#This Row],[Planned]]-Savings_3[[#This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Savings_3[[#This Row],[Planned]]-Savings_3[[#This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SUM(Income_3[Actual])</f>
        <v>4655</v>
      </c>
      <c r="D27" s="63">
        <f ca="1">SUBTOTAL(109,Income_3[Left])</f>
        <v>-1045</v>
      </c>
      <c r="F27" s="58" t="s">
        <v>45</v>
      </c>
      <c r="G27" s="59">
        <f>SUM(G13:G26)</f>
        <v>3795</v>
      </c>
      <c r="H27" s="59">
        <f ca="1">SUM(H13:H26)</f>
        <v>3899.3900000000003</v>
      </c>
      <c r="I27" s="60">
        <f ca="1">SUBTOTAL(109,Expenses_3[Left])</f>
        <v>-104.38999999999999</v>
      </c>
      <c r="K27" s="64" t="s">
        <v>45</v>
      </c>
      <c r="L27" s="65"/>
      <c r="M27" s="66">
        <f>SUM(M13:M26)</f>
        <v>1735</v>
      </c>
      <c r="N27" s="67">
        <f>SUBTOTAL(103,Bills_3[Actual])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SUBTOTAL(103,Subscriptions_3[Actual])</f>
        <v>0</v>
      </c>
      <c r="U27" s="72" t="s">
        <v>45</v>
      </c>
      <c r="V27" s="73">
        <f>SUM(V13:V26)</f>
        <v>1905</v>
      </c>
      <c r="W27" s="74">
        <f>SUBTOTAL(109,Savings_3[Actual])</f>
        <v>0</v>
      </c>
      <c r="X27" s="10">
        <f>SUM(Savings_3[Left])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58F7-FF0B-44BC-B640-181F5CD36F30}">
  <sheetPr codeName="Sheet4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4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45757</v>
      </c>
      <c r="M13" s="8">
        <v>1500</v>
      </c>
      <c r="N13" s="30"/>
      <c r="P13" s="38" t="s">
        <v>18</v>
      </c>
      <c r="Q13" s="15">
        <f ca="1">DATE(2025,$A$2,5)</f>
        <v>45752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Savings_4[[#This Row],[Planned]]-Savings_4[[#This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150</v>
      </c>
      <c r="D14" s="17">
        <f t="shared" ref="D14:D18" ca="1" si="1">C14-B14</f>
        <v>-150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149</v>
      </c>
      <c r="I14" s="22">
        <f t="shared" ref="I14:I21" ca="1" si="2">G14-H14</f>
        <v>51</v>
      </c>
      <c r="K14" s="29" t="s">
        <v>17</v>
      </c>
      <c r="L14" s="14">
        <f ca="1">DATE(2025,$A$2,15)</f>
        <v>45762</v>
      </c>
      <c r="M14" s="8">
        <v>80</v>
      </c>
      <c r="N14" s="30"/>
      <c r="P14" s="38" t="s">
        <v>14</v>
      </c>
      <c r="Q14" s="15">
        <f ca="1">DATE(2025,$A$2,24)</f>
        <v>45771</v>
      </c>
      <c r="R14" s="5">
        <v>33</v>
      </c>
      <c r="S14" s="39"/>
      <c r="U14" s="47" t="s">
        <v>39</v>
      </c>
      <c r="V14" s="9">
        <v>800</v>
      </c>
      <c r="W14" s="48"/>
      <c r="X14" s="9">
        <f>Savings_4[[#This Row],[Planned]]-Savings_4[[#This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50</v>
      </c>
      <c r="D15" s="17">
        <f t="shared" ca="1" si="1"/>
        <v>-450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1057.9000000000001</v>
      </c>
      <c r="I15" s="22">
        <f t="shared" ca="1" si="2"/>
        <v>-757.90000000000009</v>
      </c>
      <c r="K15" s="29" t="s">
        <v>20</v>
      </c>
      <c r="L15" s="14">
        <f t="shared" ref="L15:L16" ca="1" si="3">DATE(2025,$A$2,10)</f>
        <v>45757</v>
      </c>
      <c r="M15" s="8">
        <v>35</v>
      </c>
      <c r="N15" s="30"/>
      <c r="P15" s="38" t="s">
        <v>36</v>
      </c>
      <c r="Q15" s="15">
        <f ca="1">DATE(2025,$A$2,2)</f>
        <v>45749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Savings_4[[#This Row],[Planned]]-Savings_4[[#This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372.26</v>
      </c>
      <c r="I16" s="22">
        <f t="shared" ca="1" si="2"/>
        <v>377.74</v>
      </c>
      <c r="K16" s="29" t="s">
        <v>19</v>
      </c>
      <c r="L16" s="14">
        <f t="shared" ca="1" si="3"/>
        <v>45757</v>
      </c>
      <c r="M16" s="8">
        <v>25</v>
      </c>
      <c r="N16" s="30"/>
      <c r="P16" s="38" t="s">
        <v>21</v>
      </c>
      <c r="Q16" s="15">
        <f ca="1">DATE(2025,$A$2,21)</f>
        <v>45768</v>
      </c>
      <c r="R16" s="5">
        <v>100</v>
      </c>
      <c r="S16" s="39"/>
      <c r="U16" s="47"/>
      <c r="V16" s="9"/>
      <c r="W16" s="48"/>
      <c r="X16" s="9">
        <f>Savings_4[[#This Row],[Planned]]-Savings_4[[#This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23.5</v>
      </c>
      <c r="I17" s="22">
        <f t="shared" ca="1" si="2"/>
        <v>106.5</v>
      </c>
      <c r="K17" s="29" t="s">
        <v>22</v>
      </c>
      <c r="L17" s="14">
        <f ca="1">DATE(2025,$A$2,28)</f>
        <v>45775</v>
      </c>
      <c r="M17" s="8">
        <v>35</v>
      </c>
      <c r="N17" s="30"/>
      <c r="P17" s="38" t="s">
        <v>37</v>
      </c>
      <c r="Q17" s="15">
        <f ca="1">DATE(2025,$A$2,12)</f>
        <v>45759</v>
      </c>
      <c r="R17" s="5">
        <v>42.69</v>
      </c>
      <c r="S17" s="39"/>
      <c r="U17" s="47"/>
      <c r="V17" s="9"/>
      <c r="W17" s="48"/>
      <c r="X17" s="9">
        <f>Savings_4[[#This Row],[Planned]]-Savings_4[[#This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49</v>
      </c>
      <c r="I18" s="22">
        <f t="shared" ca="1" si="2"/>
        <v>81</v>
      </c>
      <c r="K18" s="29" t="s">
        <v>24</v>
      </c>
      <c r="L18" s="14">
        <f ca="1">DATE(2025,$A$2,20)</f>
        <v>45767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Savings_4[[#This Row],[Planned]]-Savings_4[[#This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100</v>
      </c>
      <c r="I19" s="22">
        <f t="shared" ca="1" si="2"/>
        <v>100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Savings_4[[#This Row],[Planned]]-Savings_4[[#This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139</v>
      </c>
      <c r="I20" s="22">
        <f t="shared" ca="1" si="2"/>
        <v>61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Savings_4[[#This Row],[Planned]]-Savings_4[[#This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82.5</v>
      </c>
      <c r="I21" s="22">
        <f t="shared" ca="1" si="2"/>
        <v>67.5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Savings_4[[#This Row],[Planned]]-Savings_4[[#This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Savings_4[[#This Row],[Planned]]-Savings_4[[#This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Savings_4[[#This Row],[Planned]]-Savings_4[[#This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Savings_4[[#This Row],[Planned]]-Savings_4[[#This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Savings_4[[#This Row],[Planned]]-Savings_4[[#This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Savings_4[[#This Row],[Planned]]-Savings_4[[#This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SUM(Income_4[Actual])</f>
        <v>4700</v>
      </c>
      <c r="D27" s="63">
        <f ca="1">SUBTOTAL(109,Income_4[Left])</f>
        <v>-1000</v>
      </c>
      <c r="F27" s="58" t="s">
        <v>45</v>
      </c>
      <c r="G27" s="59">
        <f>SUM(G13:G26)</f>
        <v>3795</v>
      </c>
      <c r="H27" s="59">
        <f ca="1">SUM(H13:H26)</f>
        <v>3973.16</v>
      </c>
      <c r="I27" s="60">
        <f ca="1">SUBTOTAL(109,Expenses_4[Left])</f>
        <v>-178.16000000000008</v>
      </c>
      <c r="K27" s="64" t="s">
        <v>45</v>
      </c>
      <c r="L27" s="65"/>
      <c r="M27" s="66">
        <f>SUM(M13:M26)</f>
        <v>1735</v>
      </c>
      <c r="N27" s="67">
        <f>SUBTOTAL(103,Bills_4[Actual])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SUBTOTAL(103,Subscriptions_4[Actual])</f>
        <v>0</v>
      </c>
      <c r="U27" s="72" t="s">
        <v>45</v>
      </c>
      <c r="V27" s="73">
        <f>SUM(V13:V26)</f>
        <v>1905</v>
      </c>
      <c r="W27" s="74">
        <f>SUBTOTAL(109,Savings_4[Actual])</f>
        <v>0</v>
      </c>
      <c r="X27" s="10">
        <f>SUM(Savings_4[Left])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3C0EB-9852-4ED0-90BF-9B1E52461426}">
  <sheetPr codeName="Sheet5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5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45787</v>
      </c>
      <c r="M13" s="8">
        <v>1500</v>
      </c>
      <c r="N13" s="30"/>
      <c r="P13" s="38" t="s">
        <v>18</v>
      </c>
      <c r="Q13" s="15">
        <f ca="1">DATE(2025,$A$2,5)</f>
        <v>45782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Savings_5[[#This Row],[Planned]]-Savings_5[[#This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0</v>
      </c>
      <c r="I14" s="22">
        <f t="shared" ref="I14:I21" ca="1" si="2">G14-H14</f>
        <v>200</v>
      </c>
      <c r="K14" s="29" t="s">
        <v>17</v>
      </c>
      <c r="L14" s="14">
        <f ca="1">DATE(2025,$A$2,15)</f>
        <v>45792</v>
      </c>
      <c r="M14" s="8">
        <v>80</v>
      </c>
      <c r="N14" s="30"/>
      <c r="P14" s="38" t="s">
        <v>14</v>
      </c>
      <c r="Q14" s="15">
        <f ca="1">DATE(2025,$A$2,24)</f>
        <v>45801</v>
      </c>
      <c r="R14" s="5">
        <v>33</v>
      </c>
      <c r="S14" s="39"/>
      <c r="U14" s="47" t="s">
        <v>39</v>
      </c>
      <c r="V14" s="9">
        <v>800</v>
      </c>
      <c r="W14" s="48"/>
      <c r="X14" s="9">
        <f>Savings_5[[#This Row],[Planned]]-Savings_5[[#This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80</v>
      </c>
      <c r="I15" s="22">
        <f t="shared" ca="1" si="2"/>
        <v>220</v>
      </c>
      <c r="K15" s="29" t="s">
        <v>20</v>
      </c>
      <c r="L15" s="14">
        <f t="shared" ref="L15:L16" ca="1" si="3">DATE(2025,$A$2,10)</f>
        <v>45787</v>
      </c>
      <c r="M15" s="8">
        <v>35</v>
      </c>
      <c r="N15" s="30"/>
      <c r="P15" s="38" t="s">
        <v>36</v>
      </c>
      <c r="Q15" s="15">
        <f ca="1">DATE(2025,$A$2,2)</f>
        <v>45779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Savings_5[[#This Row],[Planned]]-Savings_5[[#This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1000</v>
      </c>
      <c r="I16" s="22">
        <f t="shared" ca="1" si="2"/>
        <v>-250</v>
      </c>
      <c r="K16" s="29" t="s">
        <v>19</v>
      </c>
      <c r="L16" s="14">
        <f t="shared" ca="1" si="3"/>
        <v>45787</v>
      </c>
      <c r="M16" s="8">
        <v>25</v>
      </c>
      <c r="N16" s="30"/>
      <c r="P16" s="38" t="s">
        <v>21</v>
      </c>
      <c r="Q16" s="15">
        <f ca="1">DATE(2025,$A$2,21)</f>
        <v>45798</v>
      </c>
      <c r="R16" s="5">
        <v>100</v>
      </c>
      <c r="S16" s="39"/>
      <c r="U16" s="47"/>
      <c r="V16" s="9"/>
      <c r="W16" s="48"/>
      <c r="X16" s="9">
        <f>Savings_5[[#This Row],[Planned]]-Savings_5[[#This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0</v>
      </c>
      <c r="I17" s="22">
        <f t="shared" ca="1" si="2"/>
        <v>130</v>
      </c>
      <c r="K17" s="29" t="s">
        <v>22</v>
      </c>
      <c r="L17" s="14">
        <f ca="1">DATE(2025,$A$2,28)</f>
        <v>45805</v>
      </c>
      <c r="M17" s="8">
        <v>35</v>
      </c>
      <c r="N17" s="30"/>
      <c r="P17" s="38" t="s">
        <v>37</v>
      </c>
      <c r="Q17" s="15">
        <f ca="1">DATE(2025,$A$2,12)</f>
        <v>45789</v>
      </c>
      <c r="R17" s="5">
        <v>42.69</v>
      </c>
      <c r="S17" s="39"/>
      <c r="U17" s="47"/>
      <c r="V17" s="9"/>
      <c r="W17" s="48"/>
      <c r="X17" s="9">
        <f>Savings_5[[#This Row],[Planned]]-Savings_5[[#This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50</v>
      </c>
      <c r="I18" s="22">
        <f t="shared" ca="1" si="2"/>
        <v>80</v>
      </c>
      <c r="K18" s="29" t="s">
        <v>24</v>
      </c>
      <c r="L18" s="14">
        <f ca="1">DATE(2025,$A$2,20)</f>
        <v>45797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Savings_5[[#This Row],[Planned]]-Savings_5[[#This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Savings_5[[#This Row],[Planned]]-Savings_5[[#This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Savings_5[[#This Row],[Planned]]-Savings_5[[#This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80</v>
      </c>
      <c r="I21" s="22">
        <f t="shared" ca="1" si="2"/>
        <v>70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Savings_5[[#This Row],[Planned]]-Savings_5[[#This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Savings_5[[#This Row],[Planned]]-Savings_5[[#This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Savings_5[[#This Row],[Planned]]-Savings_5[[#This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Savings_5[[#This Row],[Planned]]-Savings_5[[#This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Savings_5[[#This Row],[Planned]]-Savings_5[[#This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Savings_5[[#This Row],[Planned]]-Savings_5[[#This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SUM(Income_5[Actual])</f>
        <v>4500</v>
      </c>
      <c r="D27" s="63">
        <f ca="1">SUBTOTAL(109,Income_5[Left])</f>
        <v>-1200</v>
      </c>
      <c r="F27" s="58" t="s">
        <v>45</v>
      </c>
      <c r="G27" s="59">
        <f>SUM(G13:G26)</f>
        <v>3795</v>
      </c>
      <c r="H27" s="59">
        <f ca="1">SUM(H13:H26)</f>
        <v>3210</v>
      </c>
      <c r="I27" s="60">
        <f ca="1">SUBTOTAL(109,Expenses_5[Left])</f>
        <v>585</v>
      </c>
      <c r="K27" s="64" t="s">
        <v>45</v>
      </c>
      <c r="L27" s="65"/>
      <c r="M27" s="66">
        <f>SUM(M13:M26)</f>
        <v>1735</v>
      </c>
      <c r="N27" s="67">
        <f>SUBTOTAL(103,Bills_5[Actual])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SUBTOTAL(103,Subscriptions_5[Actual])</f>
        <v>0</v>
      </c>
      <c r="U27" s="72" t="s">
        <v>45</v>
      </c>
      <c r="V27" s="73">
        <f>SUM(V13:V26)</f>
        <v>1905</v>
      </c>
      <c r="W27" s="74">
        <f>SUBTOTAL(109,Savings_5[Actual])</f>
        <v>0</v>
      </c>
      <c r="X27" s="10">
        <f>SUM(Savings_5[Left])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CBAF-81ED-4311-962C-2CAE0686F429}">
  <sheetPr codeName="Sheet6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6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400</v>
      </c>
      <c r="D13" s="17">
        <f ca="1">C13-B13</f>
        <v>-2100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45818</v>
      </c>
      <c r="M13" s="8">
        <v>1500</v>
      </c>
      <c r="N13" s="30"/>
      <c r="P13" s="38" t="s">
        <v>18</v>
      </c>
      <c r="Q13" s="15">
        <f ca="1">DATE(2025,$A$2,5)</f>
        <v>45813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Savings_6[[#This Row],[Planned]]-Savings_6[[#This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300</v>
      </c>
      <c r="I14" s="22">
        <f t="shared" ref="I14:I21" ca="1" si="2">G14-H14</f>
        <v>-100</v>
      </c>
      <c r="K14" s="29" t="s">
        <v>17</v>
      </c>
      <c r="L14" s="14">
        <f ca="1">DATE(2025,$A$2,15)</f>
        <v>45823</v>
      </c>
      <c r="M14" s="8">
        <v>80</v>
      </c>
      <c r="N14" s="30"/>
      <c r="P14" s="38" t="s">
        <v>14</v>
      </c>
      <c r="Q14" s="15">
        <f ca="1">DATE(2025,$A$2,24)</f>
        <v>45832</v>
      </c>
      <c r="R14" s="5">
        <v>33</v>
      </c>
      <c r="S14" s="39"/>
      <c r="U14" s="47" t="s">
        <v>39</v>
      </c>
      <c r="V14" s="9">
        <v>800</v>
      </c>
      <c r="W14" s="48"/>
      <c r="X14" s="9">
        <f>Savings_6[[#This Row],[Planned]]-Savings_6[[#This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200</v>
      </c>
      <c r="I15" s="22">
        <f t="shared" ca="1" si="2"/>
        <v>100</v>
      </c>
      <c r="K15" s="29" t="s">
        <v>20</v>
      </c>
      <c r="L15" s="14">
        <f t="shared" ref="L15:L16" ca="1" si="3">DATE(2025,$A$2,10)</f>
        <v>45818</v>
      </c>
      <c r="M15" s="8">
        <v>35</v>
      </c>
      <c r="N15" s="30"/>
      <c r="P15" s="38" t="s">
        <v>36</v>
      </c>
      <c r="Q15" s="15">
        <f ca="1">DATE(2025,$A$2,2)</f>
        <v>45810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Savings_6[[#This Row],[Planned]]-Savings_6[[#This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1000</v>
      </c>
      <c r="I16" s="22">
        <f t="shared" ca="1" si="2"/>
        <v>-250</v>
      </c>
      <c r="K16" s="29" t="s">
        <v>19</v>
      </c>
      <c r="L16" s="14">
        <f t="shared" ca="1" si="3"/>
        <v>45818</v>
      </c>
      <c r="M16" s="8">
        <v>25</v>
      </c>
      <c r="N16" s="30"/>
      <c r="P16" s="38" t="s">
        <v>21</v>
      </c>
      <c r="Q16" s="15">
        <f ca="1">DATE(2025,$A$2,21)</f>
        <v>45829</v>
      </c>
      <c r="R16" s="5">
        <v>100</v>
      </c>
      <c r="S16" s="39"/>
      <c r="U16" s="47"/>
      <c r="V16" s="9"/>
      <c r="W16" s="48"/>
      <c r="X16" s="9">
        <f>Savings_6[[#This Row],[Planned]]-Savings_6[[#This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100</v>
      </c>
      <c r="I17" s="22">
        <f t="shared" ca="1" si="2"/>
        <v>30</v>
      </c>
      <c r="K17" s="29" t="s">
        <v>22</v>
      </c>
      <c r="L17" s="14">
        <f ca="1">DATE(2025,$A$2,28)</f>
        <v>45836</v>
      </c>
      <c r="M17" s="8">
        <v>35</v>
      </c>
      <c r="N17" s="30"/>
      <c r="P17" s="38" t="s">
        <v>37</v>
      </c>
      <c r="Q17" s="15">
        <f ca="1">DATE(2025,$A$2,12)</f>
        <v>45820</v>
      </c>
      <c r="R17" s="5">
        <v>42.69</v>
      </c>
      <c r="S17" s="39"/>
      <c r="U17" s="47"/>
      <c r="V17" s="9"/>
      <c r="W17" s="48"/>
      <c r="X17" s="9">
        <f>Savings_6[[#This Row],[Planned]]-Savings_6[[#This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50</v>
      </c>
      <c r="I18" s="22">
        <f t="shared" ca="1" si="2"/>
        <v>80</v>
      </c>
      <c r="K18" s="29" t="s">
        <v>24</v>
      </c>
      <c r="L18" s="14">
        <f ca="1">DATE(2025,$A$2,20)</f>
        <v>45828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Savings_6[[#This Row],[Planned]]-Savings_6[[#This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Savings_6[[#This Row],[Planned]]-Savings_6[[#This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Savings_6[[#This Row],[Planned]]-Savings_6[[#This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80</v>
      </c>
      <c r="I21" s="22">
        <f t="shared" ca="1" si="2"/>
        <v>70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Savings_6[[#This Row],[Planned]]-Savings_6[[#This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Savings_6[[#This Row],[Planned]]-Savings_6[[#This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Savings_6[[#This Row],[Planned]]-Savings_6[[#This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Savings_6[[#This Row],[Planned]]-Savings_6[[#This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Savings_6[[#This Row],[Planned]]-Savings_6[[#This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Savings_6[[#This Row],[Planned]]-Savings_6[[#This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SUM(Income_6[Actual])</f>
        <v>4900</v>
      </c>
      <c r="D27" s="63">
        <f ca="1">SUBTOTAL(109,Income_6[Left])</f>
        <v>-800</v>
      </c>
      <c r="F27" s="58" t="s">
        <v>45</v>
      </c>
      <c r="G27" s="59">
        <f>SUM(G13:G26)</f>
        <v>3795</v>
      </c>
      <c r="H27" s="59">
        <f ca="1">SUM(H13:H26)</f>
        <v>3730</v>
      </c>
      <c r="I27" s="60">
        <f ca="1">SUBTOTAL(109,Expenses_6[Left])</f>
        <v>65</v>
      </c>
      <c r="K27" s="64" t="s">
        <v>45</v>
      </c>
      <c r="L27" s="65"/>
      <c r="M27" s="66">
        <f>SUM(M13:M26)</f>
        <v>1735</v>
      </c>
      <c r="N27" s="67">
        <f>SUBTOTAL(103,Bills_6[Actual])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SUBTOTAL(103,Subscriptions_6[Actual])</f>
        <v>0</v>
      </c>
      <c r="U27" s="72" t="s">
        <v>45</v>
      </c>
      <c r="V27" s="73">
        <f>SUM(V13:V26)</f>
        <v>1905</v>
      </c>
      <c r="W27" s="74">
        <f>SUBTOTAL(109,Savings_6[Actual])</f>
        <v>0</v>
      </c>
      <c r="X27" s="10">
        <f>SUM(Savings_6[Left])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6A04F-C3B7-4ADC-8B24-2B35BAE601C5}">
  <sheetPr codeName="Sheet7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7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45848</v>
      </c>
      <c r="M13" s="8">
        <v>1500</v>
      </c>
      <c r="N13" s="30"/>
      <c r="P13" s="38" t="s">
        <v>18</v>
      </c>
      <c r="Q13" s="15">
        <f ca="1">DATE(2025,$A$2,5)</f>
        <v>45843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Savings_7[[#This Row],[Planned]]-Savings_7[[#This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120</v>
      </c>
      <c r="D14" s="17">
        <f t="shared" ref="D14:D18" ca="1" si="1">C14-B14</f>
        <v>-180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-250</v>
      </c>
      <c r="I14" s="22">
        <f t="shared" ref="I14:I21" ca="1" si="2">G14-H14</f>
        <v>450</v>
      </c>
      <c r="K14" s="29" t="s">
        <v>17</v>
      </c>
      <c r="L14" s="14">
        <f ca="1">DATE(2025,$A$2,15)</f>
        <v>45853</v>
      </c>
      <c r="M14" s="8">
        <v>80</v>
      </c>
      <c r="N14" s="30"/>
      <c r="P14" s="38" t="s">
        <v>14</v>
      </c>
      <c r="Q14" s="15">
        <f ca="1">DATE(2025,$A$2,24)</f>
        <v>45862</v>
      </c>
      <c r="R14" s="5">
        <v>33</v>
      </c>
      <c r="S14" s="39"/>
      <c r="U14" s="47" t="s">
        <v>39</v>
      </c>
      <c r="V14" s="9">
        <v>800</v>
      </c>
      <c r="W14" s="48"/>
      <c r="X14" s="9">
        <f>Savings_7[[#This Row],[Planned]]-Savings_7[[#This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800</v>
      </c>
      <c r="D15" s="17">
        <f t="shared" ca="1" si="1"/>
        <v>300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700</v>
      </c>
      <c r="I15" s="22">
        <f t="shared" ca="1" si="2"/>
        <v>-400</v>
      </c>
      <c r="K15" s="29" t="s">
        <v>20</v>
      </c>
      <c r="L15" s="14">
        <f t="shared" ref="L15:L16" ca="1" si="3">DATE(2025,$A$2,10)</f>
        <v>45848</v>
      </c>
      <c r="M15" s="8">
        <v>35</v>
      </c>
      <c r="N15" s="30"/>
      <c r="P15" s="38" t="s">
        <v>36</v>
      </c>
      <c r="Q15" s="15">
        <f ca="1">DATE(2025,$A$2,2)</f>
        <v>45840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Savings_7[[#This Row],[Planned]]-Savings_7[[#This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165</v>
      </c>
      <c r="I16" s="22">
        <f t="shared" ca="1" si="2"/>
        <v>585</v>
      </c>
      <c r="K16" s="29" t="s">
        <v>19</v>
      </c>
      <c r="L16" s="14">
        <f t="shared" ca="1" si="3"/>
        <v>45848</v>
      </c>
      <c r="M16" s="8">
        <v>25</v>
      </c>
      <c r="N16" s="30"/>
      <c r="P16" s="38" t="s">
        <v>21</v>
      </c>
      <c r="Q16" s="15">
        <f ca="1">DATE(2025,$A$2,21)</f>
        <v>45859</v>
      </c>
      <c r="R16" s="5">
        <v>100</v>
      </c>
      <c r="S16" s="39"/>
      <c r="U16" s="47"/>
      <c r="V16" s="9"/>
      <c r="W16" s="48"/>
      <c r="X16" s="9">
        <f>Savings_7[[#This Row],[Planned]]-Savings_7[[#This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300</v>
      </c>
      <c r="I17" s="22">
        <f t="shared" ca="1" si="2"/>
        <v>-170</v>
      </c>
      <c r="K17" s="29" t="s">
        <v>22</v>
      </c>
      <c r="L17" s="14">
        <f ca="1">DATE(2025,$A$2,28)</f>
        <v>45866</v>
      </c>
      <c r="M17" s="8">
        <v>35</v>
      </c>
      <c r="N17" s="30"/>
      <c r="P17" s="38" t="s">
        <v>37</v>
      </c>
      <c r="Q17" s="15">
        <f ca="1">DATE(2025,$A$2,12)</f>
        <v>45850</v>
      </c>
      <c r="R17" s="5">
        <v>42.69</v>
      </c>
      <c r="S17" s="39"/>
      <c r="U17" s="47"/>
      <c r="V17" s="9"/>
      <c r="W17" s="48"/>
      <c r="X17" s="9">
        <f>Savings_7[[#This Row],[Planned]]-Savings_7[[#This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500</v>
      </c>
      <c r="D18" s="17">
        <f t="shared" ca="1" si="1"/>
        <v>-300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0</v>
      </c>
      <c r="I18" s="22">
        <f t="shared" ca="1" si="2"/>
        <v>130</v>
      </c>
      <c r="K18" s="29" t="s">
        <v>24</v>
      </c>
      <c r="L18" s="14">
        <f ca="1">DATE(2025,$A$2,20)</f>
        <v>45858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Savings_7[[#This Row],[Planned]]-Savings_7[[#This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Savings_7[[#This Row],[Planned]]-Savings_7[[#This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Savings_7[[#This Row],[Planned]]-Savings_7[[#This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90</v>
      </c>
      <c r="I21" s="22">
        <f t="shared" ca="1" si="2"/>
        <v>60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Savings_7[[#This Row],[Planned]]-Savings_7[[#This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Savings_7[[#This Row],[Planned]]-Savings_7[[#This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Savings_7[[#This Row],[Planned]]-Savings_7[[#This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Savings_7[[#This Row],[Planned]]-Savings_7[[#This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Savings_7[[#This Row],[Planned]]-Savings_7[[#This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Savings_7[[#This Row],[Planned]]-Savings_7[[#This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SUM(Income_7[Actual])</f>
        <v>5920</v>
      </c>
      <c r="D27" s="63">
        <f ca="1">SUBTOTAL(109,Income_7[Left])</f>
        <v>220</v>
      </c>
      <c r="F27" s="58" t="s">
        <v>45</v>
      </c>
      <c r="G27" s="59">
        <f>SUM(G13:G26)</f>
        <v>3795</v>
      </c>
      <c r="H27" s="59">
        <f ca="1">SUM(H13:H26)</f>
        <v>3005</v>
      </c>
      <c r="I27" s="60">
        <f ca="1">SUBTOTAL(109,Expenses_7[Left])</f>
        <v>790</v>
      </c>
      <c r="K27" s="64" t="s">
        <v>45</v>
      </c>
      <c r="L27" s="65"/>
      <c r="M27" s="66">
        <f>SUM(M13:M26)</f>
        <v>1735</v>
      </c>
      <c r="N27" s="67">
        <f>SUBTOTAL(103,Bills_7[Actual])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SUBTOTAL(103,Subscriptions_7[Actual])</f>
        <v>0</v>
      </c>
      <c r="U27" s="72" t="s">
        <v>45</v>
      </c>
      <c r="V27" s="73">
        <f>SUM(V13:V26)</f>
        <v>1905</v>
      </c>
      <c r="W27" s="74">
        <f>SUBTOTAL(109,Savings_7[Actual])</f>
        <v>0</v>
      </c>
      <c r="X27" s="10">
        <f>SUM(Savings_7[Left])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1C7E1-F981-4FBD-9E05-3828A1FDD3A8}">
  <sheetPr codeName="Sheet8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8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45879</v>
      </c>
      <c r="M13" s="8">
        <v>1500</v>
      </c>
      <c r="N13" s="30"/>
      <c r="P13" s="38" t="s">
        <v>18</v>
      </c>
      <c r="Q13" s="15">
        <f ca="1">DATE(2025,$A$2,5)</f>
        <v>45874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Savings_8[[#This Row],[Planned]]-Savings_8[[#This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300</v>
      </c>
      <c r="I14" s="22">
        <f t="shared" ref="I14:I21" ca="1" si="2">G14-H14</f>
        <v>-100</v>
      </c>
      <c r="K14" s="29" t="s">
        <v>17</v>
      </c>
      <c r="L14" s="14">
        <f ca="1">DATE(2025,$A$2,15)</f>
        <v>45884</v>
      </c>
      <c r="M14" s="8">
        <v>80</v>
      </c>
      <c r="N14" s="30"/>
      <c r="P14" s="38" t="s">
        <v>14</v>
      </c>
      <c r="Q14" s="15">
        <f ca="1">DATE(2025,$A$2,24)</f>
        <v>45893</v>
      </c>
      <c r="R14" s="5">
        <v>33</v>
      </c>
      <c r="S14" s="39"/>
      <c r="U14" s="47" t="s">
        <v>39</v>
      </c>
      <c r="V14" s="9">
        <v>800</v>
      </c>
      <c r="W14" s="48"/>
      <c r="X14" s="9">
        <f>Savings_8[[#This Row],[Planned]]-Savings_8[[#This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400</v>
      </c>
      <c r="D15" s="17">
        <f t="shared" ca="1" si="1"/>
        <v>-100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250</v>
      </c>
      <c r="I15" s="22">
        <f t="shared" ca="1" si="2"/>
        <v>50</v>
      </c>
      <c r="K15" s="29" t="s">
        <v>20</v>
      </c>
      <c r="L15" s="14">
        <f t="shared" ref="L15:L16" ca="1" si="3">DATE(2025,$A$2,10)</f>
        <v>45879</v>
      </c>
      <c r="M15" s="8">
        <v>35</v>
      </c>
      <c r="N15" s="30"/>
      <c r="P15" s="38" t="s">
        <v>36</v>
      </c>
      <c r="Q15" s="15">
        <f ca="1">DATE(2025,$A$2,2)</f>
        <v>45871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Savings_8[[#This Row],[Planned]]-Savings_8[[#This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749.5</v>
      </c>
      <c r="I16" s="22">
        <f t="shared" ca="1" si="2"/>
        <v>0.5</v>
      </c>
      <c r="K16" s="29" t="s">
        <v>19</v>
      </c>
      <c r="L16" s="14">
        <f t="shared" ca="1" si="3"/>
        <v>45879</v>
      </c>
      <c r="M16" s="8">
        <v>25</v>
      </c>
      <c r="N16" s="30"/>
      <c r="P16" s="38" t="s">
        <v>21</v>
      </c>
      <c r="Q16" s="15">
        <f ca="1">DATE(2025,$A$2,21)</f>
        <v>45890</v>
      </c>
      <c r="R16" s="5">
        <v>100</v>
      </c>
      <c r="S16" s="39"/>
      <c r="U16" s="47"/>
      <c r="V16" s="9"/>
      <c r="W16" s="48"/>
      <c r="X16" s="9">
        <f>Savings_8[[#This Row],[Planned]]-Savings_8[[#This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400</v>
      </c>
      <c r="I17" s="22">
        <f t="shared" ca="1" si="2"/>
        <v>-270</v>
      </c>
      <c r="K17" s="29" t="s">
        <v>22</v>
      </c>
      <c r="L17" s="14">
        <f ca="1">DATE(2025,$A$2,28)</f>
        <v>45897</v>
      </c>
      <c r="M17" s="8">
        <v>35</v>
      </c>
      <c r="N17" s="30"/>
      <c r="P17" s="38" t="s">
        <v>37</v>
      </c>
      <c r="Q17" s="15">
        <f ca="1">DATE(2025,$A$2,12)</f>
        <v>45881</v>
      </c>
      <c r="R17" s="5">
        <v>42.69</v>
      </c>
      <c r="S17" s="39"/>
      <c r="U17" s="47"/>
      <c r="V17" s="9"/>
      <c r="W17" s="48"/>
      <c r="X17" s="9">
        <f>Savings_8[[#This Row],[Planned]]-Savings_8[[#This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500</v>
      </c>
      <c r="D18" s="17">
        <f t="shared" ca="1" si="1"/>
        <v>-300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0</v>
      </c>
      <c r="I18" s="22">
        <f t="shared" ca="1" si="2"/>
        <v>130</v>
      </c>
      <c r="K18" s="29" t="s">
        <v>24</v>
      </c>
      <c r="L18" s="14">
        <f ca="1">DATE(2025,$A$2,20)</f>
        <v>45889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Savings_8[[#This Row],[Planned]]-Savings_8[[#This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Savings_8[[#This Row],[Planned]]-Savings_8[[#This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Savings_8[[#This Row],[Planned]]-Savings_8[[#This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290</v>
      </c>
      <c r="I21" s="22">
        <f t="shared" ca="1" si="2"/>
        <v>-140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Savings_8[[#This Row],[Planned]]-Savings_8[[#This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Savings_8[[#This Row],[Planned]]-Savings_8[[#This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Savings_8[[#This Row],[Planned]]-Savings_8[[#This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Savings_8[[#This Row],[Planned]]-Savings_8[[#This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Savings_8[[#This Row],[Planned]]-Savings_8[[#This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Savings_8[[#This Row],[Planned]]-Savings_8[[#This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SUM(Income_8[Actual])</f>
        <v>5400</v>
      </c>
      <c r="D27" s="63">
        <f ca="1">SUBTOTAL(109,Income_8[Left])</f>
        <v>-300</v>
      </c>
      <c r="F27" s="58" t="s">
        <v>45</v>
      </c>
      <c r="G27" s="59">
        <f>SUM(G13:G26)</f>
        <v>3795</v>
      </c>
      <c r="H27" s="59">
        <f ca="1">SUM(H13:H26)</f>
        <v>3989.5</v>
      </c>
      <c r="I27" s="60">
        <f ca="1">SUBTOTAL(109,Expenses_8[Left])</f>
        <v>-194.5</v>
      </c>
      <c r="K27" s="64" t="s">
        <v>45</v>
      </c>
      <c r="L27" s="65"/>
      <c r="M27" s="66">
        <f>SUM(M13:M26)</f>
        <v>1735</v>
      </c>
      <c r="N27" s="67">
        <f>SUBTOTAL(103,Bills_8[Actual])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SUBTOTAL(103,Subscriptions_8[Actual])</f>
        <v>0</v>
      </c>
      <c r="U27" s="72" t="s">
        <v>45</v>
      </c>
      <c r="V27" s="73">
        <f>SUM(V13:V26)</f>
        <v>1905</v>
      </c>
      <c r="W27" s="74">
        <f>SUBTOTAL(109,Savings_8[Actual])</f>
        <v>0</v>
      </c>
      <c r="X27" s="10">
        <f>SUM(Savings_8[Left])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34543-110B-42E6-B7C9-239E5C615B20}">
  <sheetPr codeName="Sheet9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9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45910</v>
      </c>
      <c r="M13" s="8">
        <v>1500</v>
      </c>
      <c r="N13" s="30"/>
      <c r="P13" s="38" t="s">
        <v>18</v>
      </c>
      <c r="Q13" s="15">
        <f ca="1">DATE(2025,$A$2,5)</f>
        <v>45905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Savings_9[[#This Row],[Planned]]-Savings_9[[#This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0</v>
      </c>
      <c r="I14" s="22">
        <f t="shared" ref="I14:I21" ca="1" si="2">G14-H14</f>
        <v>200</v>
      </c>
      <c r="K14" s="29" t="s">
        <v>17</v>
      </c>
      <c r="L14" s="14">
        <f ca="1">DATE(2025,$A$2,15)</f>
        <v>45915</v>
      </c>
      <c r="M14" s="8">
        <v>80</v>
      </c>
      <c r="N14" s="30"/>
      <c r="P14" s="38" t="s">
        <v>14</v>
      </c>
      <c r="Q14" s="15">
        <f ca="1">DATE(2025,$A$2,24)</f>
        <v>45924</v>
      </c>
      <c r="R14" s="5">
        <v>33</v>
      </c>
      <c r="S14" s="39"/>
      <c r="U14" s="47" t="s">
        <v>39</v>
      </c>
      <c r="V14" s="9">
        <v>800</v>
      </c>
      <c r="W14" s="48"/>
      <c r="X14" s="9">
        <f>Savings_9[[#This Row],[Planned]]-Savings_9[[#This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20</v>
      </c>
      <c r="I15" s="22">
        <f t="shared" ca="1" si="2"/>
        <v>280</v>
      </c>
      <c r="K15" s="29" t="s">
        <v>20</v>
      </c>
      <c r="L15" s="14">
        <f t="shared" ref="L15:L16" ca="1" si="3">DATE(2025,$A$2,10)</f>
        <v>45910</v>
      </c>
      <c r="M15" s="8">
        <v>35</v>
      </c>
      <c r="N15" s="30"/>
      <c r="P15" s="38" t="s">
        <v>36</v>
      </c>
      <c r="Q15" s="15">
        <f ca="1">DATE(2025,$A$2,2)</f>
        <v>45902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Savings_9[[#This Row],[Planned]]-Savings_9[[#This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538.5</v>
      </c>
      <c r="I16" s="22">
        <f t="shared" ca="1" si="2"/>
        <v>211.5</v>
      </c>
      <c r="K16" s="29" t="s">
        <v>19</v>
      </c>
      <c r="L16" s="14">
        <f t="shared" ca="1" si="3"/>
        <v>45910</v>
      </c>
      <c r="M16" s="8">
        <v>25</v>
      </c>
      <c r="N16" s="30"/>
      <c r="P16" s="38" t="s">
        <v>21</v>
      </c>
      <c r="Q16" s="15">
        <f ca="1">DATE(2025,$A$2,21)</f>
        <v>45921</v>
      </c>
      <c r="R16" s="5">
        <v>100</v>
      </c>
      <c r="S16" s="39"/>
      <c r="U16" s="47"/>
      <c r="V16" s="9"/>
      <c r="W16" s="48"/>
      <c r="X16" s="9">
        <f>Savings_9[[#This Row],[Planned]]-Savings_9[[#This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0</v>
      </c>
      <c r="I17" s="22">
        <f t="shared" ca="1" si="2"/>
        <v>130</v>
      </c>
      <c r="K17" s="29" t="s">
        <v>22</v>
      </c>
      <c r="L17" s="14">
        <f ca="1">DATE(2025,$A$2,28)</f>
        <v>45928</v>
      </c>
      <c r="M17" s="8">
        <v>35</v>
      </c>
      <c r="N17" s="30"/>
      <c r="P17" s="38" t="s">
        <v>37</v>
      </c>
      <c r="Q17" s="15">
        <f ca="1">DATE(2025,$A$2,12)</f>
        <v>45912</v>
      </c>
      <c r="R17" s="5">
        <v>42.69</v>
      </c>
      <c r="S17" s="39"/>
      <c r="U17" s="47"/>
      <c r="V17" s="9"/>
      <c r="W17" s="48"/>
      <c r="X17" s="9">
        <f>Savings_9[[#This Row],[Planned]]-Savings_9[[#This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40</v>
      </c>
      <c r="I18" s="22">
        <f t="shared" ca="1" si="2"/>
        <v>90</v>
      </c>
      <c r="K18" s="29" t="s">
        <v>24</v>
      </c>
      <c r="L18" s="14">
        <f ca="1">DATE(2025,$A$2,20)</f>
        <v>45920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Savings_9[[#This Row],[Planned]]-Savings_9[[#This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Savings_9[[#This Row],[Planned]]-Savings_9[[#This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Savings_9[[#This Row],[Planned]]-Savings_9[[#This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150</v>
      </c>
      <c r="I21" s="22">
        <f t="shared" ca="1" si="2"/>
        <v>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Savings_9[[#This Row],[Planned]]-Savings_9[[#This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Savings_9[[#This Row],[Planned]]-Savings_9[[#This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Savings_9[[#This Row],[Planned]]-Savings_9[[#This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Savings_9[[#This Row],[Planned]]-Savings_9[[#This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Savings_9[[#This Row],[Planned]]-Savings_9[[#This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Savings_9[[#This Row],[Planned]]-Savings_9[[#This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SUM(Income_9[Actual])</f>
        <v>4500</v>
      </c>
      <c r="D27" s="63">
        <f ca="1">SUBTOTAL(109,Income_9[Left])</f>
        <v>-1200</v>
      </c>
      <c r="F27" s="58" t="s">
        <v>45</v>
      </c>
      <c r="G27" s="59">
        <f>SUM(G13:G26)</f>
        <v>3795</v>
      </c>
      <c r="H27" s="59">
        <f ca="1">SUM(H13:H26)</f>
        <v>2748.5</v>
      </c>
      <c r="I27" s="60">
        <f ca="1">SUBTOTAL(109,Expenses_9[Left])</f>
        <v>1046.5</v>
      </c>
      <c r="K27" s="64" t="s">
        <v>45</v>
      </c>
      <c r="L27" s="65"/>
      <c r="M27" s="66">
        <f>SUM(M13:M26)</f>
        <v>1735</v>
      </c>
      <c r="N27" s="67">
        <f>SUBTOTAL(103,Bills_9[Actual])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SUBTOTAL(103,Subscriptions_9[Actual])</f>
        <v>0</v>
      </c>
      <c r="U27" s="72" t="s">
        <v>45</v>
      </c>
      <c r="V27" s="73">
        <f>SUM(V13:V26)</f>
        <v>1905</v>
      </c>
      <c r="W27" s="74">
        <f>SUBTOTAL(109,Savings_9[Actual])</f>
        <v>0</v>
      </c>
      <c r="X27" s="10">
        <f>SUM(Savings_9[Left])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D2DF8-05AA-4F9F-B1BB-5867EED9A2F9}">
  <sheetPr codeName="Sheet10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10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45940</v>
      </c>
      <c r="M13" s="8">
        <v>1500</v>
      </c>
      <c r="N13" s="30"/>
      <c r="P13" s="38" t="s">
        <v>18</v>
      </c>
      <c r="Q13" s="15">
        <f ca="1">DATE(2025,$A$2,5)</f>
        <v>45935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Savings_10[[#This Row],[Planned]]-Savings_10[[#This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0</v>
      </c>
      <c r="I14" s="22">
        <f t="shared" ref="I14:I21" ca="1" si="2">G14-H14</f>
        <v>200</v>
      </c>
      <c r="K14" s="29" t="s">
        <v>17</v>
      </c>
      <c r="L14" s="14">
        <f ca="1">DATE(2025,$A$2,15)</f>
        <v>45945</v>
      </c>
      <c r="M14" s="8">
        <v>80</v>
      </c>
      <c r="N14" s="30"/>
      <c r="P14" s="38" t="s">
        <v>14</v>
      </c>
      <c r="Q14" s="15">
        <f ca="1">DATE(2025,$A$2,24)</f>
        <v>45954</v>
      </c>
      <c r="R14" s="5">
        <v>33</v>
      </c>
      <c r="S14" s="39"/>
      <c r="U14" s="47" t="s">
        <v>39</v>
      </c>
      <c r="V14" s="9">
        <v>800</v>
      </c>
      <c r="W14" s="48"/>
      <c r="X14" s="9">
        <f>Savings_10[[#This Row],[Planned]]-Savings_10[[#This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40</v>
      </c>
      <c r="I15" s="22">
        <f t="shared" ca="1" si="2"/>
        <v>260</v>
      </c>
      <c r="K15" s="29" t="s">
        <v>20</v>
      </c>
      <c r="L15" s="14">
        <f t="shared" ref="L15:L16" ca="1" si="3">DATE(2025,$A$2,10)</f>
        <v>45940</v>
      </c>
      <c r="M15" s="8">
        <v>35</v>
      </c>
      <c r="N15" s="30"/>
      <c r="P15" s="38" t="s">
        <v>36</v>
      </c>
      <c r="Q15" s="15">
        <f ca="1">DATE(2025,$A$2,2)</f>
        <v>45932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Savings_10[[#This Row],[Planned]]-Savings_10[[#This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600</v>
      </c>
      <c r="I16" s="22">
        <f t="shared" ca="1" si="2"/>
        <v>150</v>
      </c>
      <c r="K16" s="29" t="s">
        <v>19</v>
      </c>
      <c r="L16" s="14">
        <f t="shared" ca="1" si="3"/>
        <v>45940</v>
      </c>
      <c r="M16" s="8">
        <v>25</v>
      </c>
      <c r="N16" s="30"/>
      <c r="P16" s="38" t="s">
        <v>21</v>
      </c>
      <c r="Q16" s="15">
        <f ca="1">DATE(2025,$A$2,21)</f>
        <v>45951</v>
      </c>
      <c r="R16" s="5">
        <v>100</v>
      </c>
      <c r="S16" s="39"/>
      <c r="U16" s="47"/>
      <c r="V16" s="9"/>
      <c r="W16" s="48"/>
      <c r="X16" s="9">
        <f>Savings_10[[#This Row],[Planned]]-Savings_10[[#This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0</v>
      </c>
      <c r="I17" s="22">
        <f t="shared" ca="1" si="2"/>
        <v>130</v>
      </c>
      <c r="K17" s="29" t="s">
        <v>22</v>
      </c>
      <c r="L17" s="14">
        <f ca="1">DATE(2025,$A$2,28)</f>
        <v>45958</v>
      </c>
      <c r="M17" s="8">
        <v>35</v>
      </c>
      <c r="N17" s="30"/>
      <c r="P17" s="38" t="s">
        <v>37</v>
      </c>
      <c r="Q17" s="15">
        <f ca="1">DATE(2025,$A$2,12)</f>
        <v>45942</v>
      </c>
      <c r="R17" s="5">
        <v>42.69</v>
      </c>
      <c r="S17" s="39"/>
      <c r="U17" s="47"/>
      <c r="V17" s="9"/>
      <c r="W17" s="48"/>
      <c r="X17" s="9">
        <f>Savings_10[[#This Row],[Planned]]-Savings_10[[#This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40</v>
      </c>
      <c r="I18" s="22">
        <f t="shared" ca="1" si="2"/>
        <v>90</v>
      </c>
      <c r="K18" s="29" t="s">
        <v>24</v>
      </c>
      <c r="L18" s="14">
        <f ca="1">DATE(2025,$A$2,20)</f>
        <v>45950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Savings_10[[#This Row],[Planned]]-Savings_10[[#This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Savings_10[[#This Row],[Planned]]-Savings_10[[#This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Savings_10[[#This Row],[Planned]]-Savings_10[[#This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150</v>
      </c>
      <c r="I21" s="22">
        <f t="shared" ca="1" si="2"/>
        <v>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Savings_10[[#This Row],[Planned]]-Savings_10[[#This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Savings_10[[#This Row],[Planned]]-Savings_10[[#This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Savings_10[[#This Row],[Planned]]-Savings_10[[#This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Savings_10[[#This Row],[Planned]]-Savings_10[[#This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Savings_10[[#This Row],[Planned]]-Savings_10[[#This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Savings_10[[#This Row],[Planned]]-Savings_10[[#This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SUM(Income_10[Actual])</f>
        <v>4500</v>
      </c>
      <c r="D27" s="63">
        <f ca="1">SUBTOTAL(109,Income_10[Left])</f>
        <v>-1200</v>
      </c>
      <c r="F27" s="58" t="s">
        <v>45</v>
      </c>
      <c r="G27" s="59">
        <f>SUM(G13:G26)</f>
        <v>3795</v>
      </c>
      <c r="H27" s="59">
        <f ca="1">SUM(H13:H26)</f>
        <v>2830</v>
      </c>
      <c r="I27" s="60">
        <f ca="1">SUBTOTAL(109,Expenses_10[Left])</f>
        <v>965</v>
      </c>
      <c r="K27" s="64" t="s">
        <v>45</v>
      </c>
      <c r="L27" s="65"/>
      <c r="M27" s="66">
        <f>SUM(M13:M26)</f>
        <v>1735</v>
      </c>
      <c r="N27" s="67">
        <f>SUBTOTAL(103,Bills_10[Actual])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SUBTOTAL(103,Subscriptions_10[Actual])</f>
        <v>0</v>
      </c>
      <c r="U27" s="72" t="s">
        <v>45</v>
      </c>
      <c r="V27" s="73">
        <f>SUM(V13:V26)</f>
        <v>1905</v>
      </c>
      <c r="W27" s="74">
        <f>SUBTOTAL(109,Savings_10[Actual])</f>
        <v>0</v>
      </c>
      <c r="X27" s="10">
        <f>SUM(Savings_10[Left])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EF21-D013-40F8-BC0A-C047283A1529}">
  <sheetPr codeName="Sheet11"/>
  <dimension ref="A1:X27"/>
  <sheetViews>
    <sheetView zoomScale="145" zoomScaleNormal="145" workbookViewId="0">
      <selection activeCell="B4" sqref="B4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11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45971</v>
      </c>
      <c r="M13" s="8">
        <v>1500</v>
      </c>
      <c r="N13" s="30"/>
      <c r="P13" s="38" t="s">
        <v>18</v>
      </c>
      <c r="Q13" s="15">
        <f ca="1">DATE(2025,$A$2,5)</f>
        <v>45966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Savings_11[[#This Row],[Planned]]-Savings_11[[#This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158</v>
      </c>
      <c r="I14" s="22">
        <f t="shared" ref="I14:I21" ca="1" si="2">G14-H14</f>
        <v>42</v>
      </c>
      <c r="K14" s="29" t="s">
        <v>17</v>
      </c>
      <c r="L14" s="14">
        <f ca="1">DATE(2025,$A$2,15)</f>
        <v>45976</v>
      </c>
      <c r="M14" s="8">
        <v>80</v>
      </c>
      <c r="N14" s="30"/>
      <c r="P14" s="38" t="s">
        <v>14</v>
      </c>
      <c r="Q14" s="15">
        <f ca="1">DATE(2025,$A$2,24)</f>
        <v>45985</v>
      </c>
      <c r="R14" s="5">
        <v>33</v>
      </c>
      <c r="S14" s="39"/>
      <c r="U14" s="47" t="s">
        <v>39</v>
      </c>
      <c r="V14" s="9">
        <v>800</v>
      </c>
      <c r="W14" s="48"/>
      <c r="X14" s="9">
        <f>Savings_11[[#This Row],[Planned]]-Savings_11[[#This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400</v>
      </c>
      <c r="D15" s="17">
        <f t="shared" ca="1" si="1"/>
        <v>-100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214</v>
      </c>
      <c r="I15" s="22">
        <f t="shared" ca="1" si="2"/>
        <v>86</v>
      </c>
      <c r="K15" s="29" t="s">
        <v>20</v>
      </c>
      <c r="L15" s="14">
        <f t="shared" ref="L15:L16" ca="1" si="3">DATE(2025,$A$2,10)</f>
        <v>45971</v>
      </c>
      <c r="M15" s="8">
        <v>35</v>
      </c>
      <c r="N15" s="30"/>
      <c r="P15" s="38" t="s">
        <v>36</v>
      </c>
      <c r="Q15" s="15">
        <f ca="1">DATE(2025,$A$2,2)</f>
        <v>45963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Savings_11[[#This Row],[Planned]]-Savings_11[[#This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506</v>
      </c>
      <c r="I16" s="22">
        <f t="shared" ca="1" si="2"/>
        <v>244</v>
      </c>
      <c r="K16" s="29" t="s">
        <v>19</v>
      </c>
      <c r="L16" s="14">
        <f t="shared" ca="1" si="3"/>
        <v>45971</v>
      </c>
      <c r="M16" s="8">
        <v>25</v>
      </c>
      <c r="N16" s="30"/>
      <c r="P16" s="38" t="s">
        <v>21</v>
      </c>
      <c r="Q16" s="15">
        <f ca="1">DATE(2025,$A$2,21)</f>
        <v>45982</v>
      </c>
      <c r="R16" s="5">
        <v>100</v>
      </c>
      <c r="S16" s="39"/>
      <c r="U16" s="47"/>
      <c r="V16" s="9"/>
      <c r="W16" s="48"/>
      <c r="X16" s="9">
        <f>Savings_11[[#This Row],[Planned]]-Savings_11[[#This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133</v>
      </c>
      <c r="I17" s="22">
        <f t="shared" ca="1" si="2"/>
        <v>-3</v>
      </c>
      <c r="K17" s="29" t="s">
        <v>22</v>
      </c>
      <c r="L17" s="14">
        <f ca="1">DATE(2025,$A$2,28)</f>
        <v>45989</v>
      </c>
      <c r="M17" s="8">
        <v>35</v>
      </c>
      <c r="N17" s="30"/>
      <c r="P17" s="38" t="s">
        <v>37</v>
      </c>
      <c r="Q17" s="15">
        <f ca="1">DATE(2025,$A$2,12)</f>
        <v>45973</v>
      </c>
      <c r="R17" s="5">
        <v>42.69</v>
      </c>
      <c r="S17" s="39"/>
      <c r="U17" s="47"/>
      <c r="V17" s="9"/>
      <c r="W17" s="48"/>
      <c r="X17" s="9">
        <f>Savings_11[[#This Row],[Planned]]-Savings_11[[#This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47</v>
      </c>
      <c r="I18" s="22">
        <f t="shared" ca="1" si="2"/>
        <v>83</v>
      </c>
      <c r="K18" s="29" t="s">
        <v>24</v>
      </c>
      <c r="L18" s="14">
        <f ca="1">DATE(2025,$A$2,20)</f>
        <v>45981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Savings_11[[#This Row],[Planned]]-Savings_11[[#This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234</v>
      </c>
      <c r="I19" s="22">
        <f t="shared" ca="1" si="2"/>
        <v>-34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Savings_11[[#This Row],[Planned]]-Savings_11[[#This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Savings_11[[#This Row],[Planned]]-Savings_11[[#This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208</v>
      </c>
      <c r="I21" s="22">
        <f t="shared" ca="1" si="2"/>
        <v>-58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Savings_11[[#This Row],[Planned]]-Savings_11[[#This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Savings_11[[#This Row],[Planned]]-Savings_11[[#This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Savings_11[[#This Row],[Planned]]-Savings_11[[#This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Savings_11[[#This Row],[Planned]]-Savings_11[[#This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Savings_11[[#This Row],[Planned]]-Savings_11[[#This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Savings_11[[#This Row],[Planned]]-Savings_11[[#This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SUM(Income_11[Actual])</f>
        <v>4900</v>
      </c>
      <c r="D27" s="63">
        <f ca="1">SUBTOTAL(109,Income_11[Left])</f>
        <v>-800</v>
      </c>
      <c r="F27" s="58" t="s">
        <v>45</v>
      </c>
      <c r="G27" s="59">
        <f>SUM(G13:G26)</f>
        <v>3795</v>
      </c>
      <c r="H27" s="59">
        <f ca="1">SUM(H13:H26)</f>
        <v>3500</v>
      </c>
      <c r="I27" s="60">
        <f ca="1">SUBTOTAL(109,Expenses_11[Left])</f>
        <v>295</v>
      </c>
      <c r="K27" s="64" t="s">
        <v>45</v>
      </c>
      <c r="L27" s="65"/>
      <c r="M27" s="66">
        <f>SUM(M13:M26)</f>
        <v>1735</v>
      </c>
      <c r="N27" s="67">
        <f>SUBTOTAL(103,Bills_11[Actual])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SUBTOTAL(103,Subscriptions_11[Actual])</f>
        <v>0</v>
      </c>
      <c r="U27" s="72" t="s">
        <v>45</v>
      </c>
      <c r="V27" s="73">
        <f>SUM(V13:V26)</f>
        <v>1905</v>
      </c>
      <c r="W27" s="74">
        <f>SUBTOTAL(109,Savings_11[Actual])</f>
        <v>0</v>
      </c>
      <c r="X27" s="10">
        <f>SUM(Savings_11[Left])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C5090-0FDB-4E5B-A9BE-664743944ECB}">
  <sheetPr codeName="Sheet12"/>
  <dimension ref="A1:X27"/>
  <sheetViews>
    <sheetView tabSelected="1" zoomScale="145" zoomScaleNormal="145" workbookViewId="0">
      <selection sqref="A1:D2"/>
    </sheetView>
  </sheetViews>
  <sheetFormatPr defaultColWidth="9.125" defaultRowHeight="21" x14ac:dyDescent="0.4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 x14ac:dyDescent="0.4">
      <c r="A1" s="79" t="s">
        <v>25</v>
      </c>
      <c r="B1" s="80"/>
      <c r="C1" s="80"/>
      <c r="D1" s="80"/>
      <c r="E1" s="12"/>
    </row>
    <row r="2" spans="1:24" x14ac:dyDescent="0.4">
      <c r="A2" s="81" t="str" cm="1">
        <f t="array" aca="1" ref="A2" ca="1">RIGHT(CELL("filename",A1),LEN(CELL("filename",A1))-FIND("]",CELL("filename",A1)))</f>
        <v>12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INDIRECT($A5&amp;"_1[[#Totals],["&amp;B$4&amp;"]]")</f>
        <v>5700</v>
      </c>
      <c r="C5" s="9" cm="1">
        <f t="array" aca="1" ref="C5" ca="1">INDIRECT($A5&amp;"_1[[#Totals],["&amp;C$4&amp;"]]")</f>
        <v>5655.5</v>
      </c>
      <c r="D5" s="9" cm="1">
        <f t="array" aca="1" ref="D5" ca="1">INDIRECT($A5&amp;"_1[[#Totals],["&amp;D$4&amp;"]]")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INDIRECT($A6&amp;"_1[[#Totals],["&amp;B$4&amp;"]]")</f>
        <v>3795</v>
      </c>
      <c r="C6" s="9" cm="1">
        <f t="array" aca="1" ref="C6" ca="1">INDIRECT($A6&amp;"_1[[#Totals],["&amp;C$4&amp;"]]")</f>
        <v>4810</v>
      </c>
      <c r="D6" s="9" cm="1">
        <f t="array" aca="1" ref="D6" ca="1">INDIRECT($A6&amp;"_1[[#Totals],["&amp;D$4&amp;"]]")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46001</v>
      </c>
      <c r="M13" s="8">
        <v>1500</v>
      </c>
      <c r="N13" s="30"/>
      <c r="P13" s="38" t="s">
        <v>18</v>
      </c>
      <c r="Q13" s="15">
        <f ca="1">DATE(2025,$A$2,5)</f>
        <v>45996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Savings_12[[#This Row],[Planned]]-Savings_12[[#This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120</v>
      </c>
      <c r="I14" s="22">
        <f t="shared" ref="I14:I21" ca="1" si="2">G14-H14</f>
        <v>80</v>
      </c>
      <c r="K14" s="29" t="s">
        <v>17</v>
      </c>
      <c r="L14" s="14">
        <f ca="1">DATE(2025,$A$2,15)</f>
        <v>46006</v>
      </c>
      <c r="M14" s="8">
        <v>80</v>
      </c>
      <c r="N14" s="30"/>
      <c r="P14" s="38" t="s">
        <v>14</v>
      </c>
      <c r="Q14" s="15">
        <f ca="1">DATE(2025,$A$2,24)</f>
        <v>46015</v>
      </c>
      <c r="R14" s="5">
        <v>33</v>
      </c>
      <c r="S14" s="39"/>
      <c r="U14" s="47" t="s">
        <v>39</v>
      </c>
      <c r="V14" s="9">
        <v>800</v>
      </c>
      <c r="W14" s="48"/>
      <c r="X14" s="9">
        <f>Savings_12[[#This Row],[Planned]]-Savings_12[[#This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2000</v>
      </c>
      <c r="D15" s="17">
        <f t="shared" ca="1" si="1"/>
        <v>1500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450</v>
      </c>
      <c r="I15" s="22">
        <f t="shared" ca="1" si="2"/>
        <v>-150</v>
      </c>
      <c r="K15" s="29" t="s">
        <v>20</v>
      </c>
      <c r="L15" s="14">
        <f t="shared" ref="L15:L16" ca="1" si="3">DATE(2025,$A$2,10)</f>
        <v>46001</v>
      </c>
      <c r="M15" s="8">
        <v>35</v>
      </c>
      <c r="N15" s="30"/>
      <c r="P15" s="38" t="s">
        <v>36</v>
      </c>
      <c r="Q15" s="15">
        <f ca="1">DATE(2025,$A$2,2)</f>
        <v>45993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Savings_12[[#This Row],[Planned]]-Savings_12[[#This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700</v>
      </c>
      <c r="I16" s="22">
        <f t="shared" ca="1" si="2"/>
        <v>50</v>
      </c>
      <c r="K16" s="29" t="s">
        <v>19</v>
      </c>
      <c r="L16" s="14">
        <f t="shared" ca="1" si="3"/>
        <v>46001</v>
      </c>
      <c r="M16" s="8">
        <v>25</v>
      </c>
      <c r="N16" s="30"/>
      <c r="P16" s="38" t="s">
        <v>21</v>
      </c>
      <c r="Q16" s="15">
        <f ca="1">DATE(2025,$A$2,21)</f>
        <v>46012</v>
      </c>
      <c r="R16" s="5">
        <v>100</v>
      </c>
      <c r="S16" s="39"/>
      <c r="U16" s="47"/>
      <c r="V16" s="9"/>
      <c r="W16" s="48"/>
      <c r="X16" s="9">
        <f>Savings_12[[#This Row],[Planned]]-Savings_12[[#This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10</v>
      </c>
      <c r="I17" s="22">
        <f t="shared" ca="1" si="2"/>
        <v>120</v>
      </c>
      <c r="K17" s="29" t="s">
        <v>22</v>
      </c>
      <c r="L17" s="14">
        <f ca="1">DATE(2025,$A$2,28)</f>
        <v>46019</v>
      </c>
      <c r="M17" s="8">
        <v>35</v>
      </c>
      <c r="N17" s="30"/>
      <c r="P17" s="38" t="s">
        <v>37</v>
      </c>
      <c r="Q17" s="15">
        <f ca="1">DATE(2025,$A$2,12)</f>
        <v>46003</v>
      </c>
      <c r="R17" s="5">
        <v>42.69</v>
      </c>
      <c r="S17" s="39"/>
      <c r="U17" s="47"/>
      <c r="V17" s="9"/>
      <c r="W17" s="48"/>
      <c r="X17" s="9">
        <f>Savings_12[[#This Row],[Planned]]-Savings_12[[#This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0</v>
      </c>
      <c r="I18" s="22">
        <f t="shared" ca="1" si="2"/>
        <v>130</v>
      </c>
      <c r="K18" s="29" t="s">
        <v>24</v>
      </c>
      <c r="L18" s="14">
        <f ca="1">DATE(2025,$A$2,20)</f>
        <v>46011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Savings_12[[#This Row],[Planned]]-Savings_12[[#This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700</v>
      </c>
      <c r="I19" s="22">
        <f t="shared" ca="1" si="2"/>
        <v>-500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Savings_12[[#This Row],[Planned]]-Savings_12[[#This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100</v>
      </c>
      <c r="I20" s="22">
        <f t="shared" ca="1" si="2"/>
        <v>100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Savings_12[[#This Row],[Planned]]-Savings_12[[#This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0</v>
      </c>
      <c r="I21" s="22">
        <f t="shared" ca="1" si="2"/>
        <v>150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Savings_12[[#This Row],[Planned]]-Savings_12[[#This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Savings_12[[#This Row],[Planned]]-Savings_12[[#This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Savings_12[[#This Row],[Planned]]-Savings_12[[#This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Savings_12[[#This Row],[Planned]]-Savings_12[[#This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Savings_12[[#This Row],[Planned]]-Savings_12[[#This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Savings_12[[#This Row],[Planned]]-Savings_12[[#This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SUM(Income_12[Actual])</f>
        <v>6500</v>
      </c>
      <c r="D27" s="63">
        <f ca="1">SUBTOTAL(109,Income_12[Left])</f>
        <v>800</v>
      </c>
      <c r="F27" s="58" t="s">
        <v>45</v>
      </c>
      <c r="G27" s="59">
        <f>SUM(G13:G26)</f>
        <v>3795</v>
      </c>
      <c r="H27" s="59">
        <f ca="1">SUM(H13:H26)</f>
        <v>4080</v>
      </c>
      <c r="I27" s="60">
        <f ca="1">SUBTOTAL(109,Expenses_12[Left])</f>
        <v>-285</v>
      </c>
      <c r="K27" s="64" t="s">
        <v>45</v>
      </c>
      <c r="L27" s="65"/>
      <c r="M27" s="66">
        <f>SUM(M13:M26)</f>
        <v>1735</v>
      </c>
      <c r="N27" s="67">
        <f>SUBTOTAL(103,Bills_12[Actual])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SUBTOTAL(103,Subscriptions_12[Actual])</f>
        <v>0</v>
      </c>
      <c r="U27" s="72" t="s">
        <v>45</v>
      </c>
      <c r="V27" s="73">
        <f>SUM(V13:V26)</f>
        <v>1905</v>
      </c>
      <c r="W27" s="74">
        <f>SUBTOTAL(109,Savings_12[Actual])</f>
        <v>0</v>
      </c>
      <c r="X27" s="10">
        <f>SUM(Savings_12[Left])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Maja Abuhasna</dc:creator>
  <cp:keywords/>
  <dc:description/>
  <cp:lastModifiedBy>RisSetupInstall</cp:lastModifiedBy>
  <cp:revision/>
  <dcterms:created xsi:type="dcterms:W3CDTF">2025-10-31T12:46:44Z</dcterms:created>
  <dcterms:modified xsi:type="dcterms:W3CDTF">2026-01-09T12:46:10Z</dcterms:modified>
  <cp:category/>
  <cp:contentStatus/>
</cp:coreProperties>
</file>
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-A301-09\Desktop\"/>
    </mc:Choice>
  </mc:AlternateContent>
  <xr:revisionPtr revIDLastSave="0" documentId="8_{50DDA612-1588-4FB4-B1FC-7E11B9E210B7}" xr6:coauthVersionLast="47" xr6:coauthVersionMax="47" xr10:uidLastSave="{00000000-0000-0000-0000-000000000000}"/>
  <bookViews>
    <workbookView xWindow="-120" yWindow="-120" windowWidth="29040" windowHeight="15840" xr2:uid="{1350B4C1-6FA8-4F8D-9418-F675D7B2477F}"/>
  </bookViews>
  <sheets>
    <sheet name="1" sheetId="1" r:id="rId1"/>
    <sheet name="2" sheetId="26" r:id="rId2"/>
    <sheet name="3" sheetId="27" r:id="rId3"/>
    <sheet name="4" sheetId="28" r:id="rId4"/>
    <sheet name="5" sheetId="29" r:id="rId5"/>
    <sheet name="6" sheetId="30" r:id="rId6"/>
    <sheet name="7" sheetId="31" r:id="rId7"/>
    <sheet name="8" sheetId="32" r:id="rId8"/>
    <sheet name="9" sheetId="33" r:id="rId9"/>
    <sheet name="10" sheetId="34" r:id="rId10"/>
    <sheet name="11" sheetId="35" r:id="rId11"/>
    <sheet name="12" sheetId="36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7" i="36" l="1"/>
  <c r="V27" i="36"/>
  <c r="S27" i="36"/>
  <c r="R27" i="36"/>
  <c r="N27" i="36"/>
  <c r="M27" i="36"/>
  <c r="G27" i="36"/>
  <c r="B27" i="36"/>
  <c r="X26" i="36"/>
  <c r="X25" i="36"/>
  <c r="X24" i="36"/>
  <c r="X23" i="36"/>
  <c r="X22" i="36"/>
  <c r="X21" i="36"/>
  <c r="X20" i="36"/>
  <c r="X19" i="36"/>
  <c r="X18" i="36"/>
  <c r="X17" i="36"/>
  <c r="X16" i="36"/>
  <c r="X15" i="36"/>
  <c r="X14" i="36"/>
  <c r="X13" i="36"/>
  <c r="X27" i="36" s="1"/>
  <c r="A2" i="36" a="1"/>
  <c r="A2" i="36" s="1"/>
  <c r="L17" i="36" s="1"/>
  <c r="W27" i="35"/>
  <c r="V27" i="35"/>
  <c r="S27" i="35"/>
  <c r="R27" i="35"/>
  <c r="N27" i="35"/>
  <c r="M27" i="35"/>
  <c r="G27" i="35"/>
  <c r="B27" i="35"/>
  <c r="X26" i="35"/>
  <c r="X25" i="35"/>
  <c r="X24" i="35"/>
  <c r="X23" i="35"/>
  <c r="X22" i="35"/>
  <c r="X21" i="35"/>
  <c r="X20" i="35"/>
  <c r="X19" i="35"/>
  <c r="X18" i="35"/>
  <c r="X17" i="35"/>
  <c r="X16" i="35"/>
  <c r="X15" i="35"/>
  <c r="X14" i="35"/>
  <c r="X13" i="35"/>
  <c r="X27" i="35" s="1"/>
  <c r="A2" i="35" a="1"/>
  <c r="A2" i="35" s="1"/>
  <c r="L17" i="35" s="1"/>
  <c r="W27" i="34"/>
  <c r="V27" i="34"/>
  <c r="S27" i="34"/>
  <c r="R27" i="34"/>
  <c r="N27" i="34"/>
  <c r="M27" i="34"/>
  <c r="G27" i="34"/>
  <c r="B27" i="34"/>
  <c r="X26" i="34"/>
  <c r="X25" i="34"/>
  <c r="X24" i="34"/>
  <c r="X23" i="34"/>
  <c r="X22" i="34"/>
  <c r="X21" i="34"/>
  <c r="X20" i="34"/>
  <c r="X19" i="34"/>
  <c r="X18" i="34"/>
  <c r="X17" i="34"/>
  <c r="X16" i="34"/>
  <c r="X15" i="34"/>
  <c r="X14" i="34"/>
  <c r="X13" i="34"/>
  <c r="X27" i="34" s="1"/>
  <c r="A2" i="34" a="1"/>
  <c r="A2" i="34" s="1"/>
  <c r="W27" i="33"/>
  <c r="V27" i="33"/>
  <c r="S27" i="33"/>
  <c r="R27" i="33"/>
  <c r="N27" i="33"/>
  <c r="M27" i="33"/>
  <c r="G27" i="33"/>
  <c r="B27" i="33"/>
  <c r="X26" i="33"/>
  <c r="X25" i="33"/>
  <c r="X24" i="33"/>
  <c r="X23" i="33"/>
  <c r="X22" i="33"/>
  <c r="X21" i="33"/>
  <c r="X20" i="33"/>
  <c r="X19" i="33"/>
  <c r="X18" i="33"/>
  <c r="X17" i="33"/>
  <c r="X16" i="33"/>
  <c r="X15" i="33"/>
  <c r="X14" i="33"/>
  <c r="X13" i="33"/>
  <c r="X27" i="33" s="1"/>
  <c r="A2" i="33" a="1"/>
  <c r="A2" i="33" s="1"/>
  <c r="L17" i="33" s="1"/>
  <c r="W27" i="32"/>
  <c r="V27" i="32"/>
  <c r="S27" i="32"/>
  <c r="R27" i="32"/>
  <c r="N27" i="32"/>
  <c r="M27" i="32"/>
  <c r="G27" i="32"/>
  <c r="B27" i="32"/>
  <c r="X26" i="32"/>
  <c r="X25" i="32"/>
  <c r="X24" i="32"/>
  <c r="X23" i="32"/>
  <c r="X22" i="32"/>
  <c r="X21" i="32"/>
  <c r="X20" i="32"/>
  <c r="X19" i="32"/>
  <c r="X18" i="32"/>
  <c r="X17" i="32"/>
  <c r="X16" i="32"/>
  <c r="X15" i="32"/>
  <c r="X14" i="32"/>
  <c r="X13" i="32"/>
  <c r="X27" i="32" s="1"/>
  <c r="A2" i="32" a="1"/>
  <c r="A2" i="32" s="1"/>
  <c r="L17" i="32" s="1"/>
  <c r="W27" i="31"/>
  <c r="V27" i="31"/>
  <c r="S27" i="31"/>
  <c r="R27" i="31"/>
  <c r="N27" i="31"/>
  <c r="M27" i="31"/>
  <c r="G27" i="31"/>
  <c r="B27" i="31"/>
  <c r="X26" i="31"/>
  <c r="X25" i="31"/>
  <c r="X24" i="31"/>
  <c r="X23" i="31"/>
  <c r="X22" i="31"/>
  <c r="X21" i="31"/>
  <c r="X20" i="31"/>
  <c r="X19" i="31"/>
  <c r="X18" i="31"/>
  <c r="X17" i="31"/>
  <c r="X16" i="31"/>
  <c r="X15" i="31"/>
  <c r="X14" i="31"/>
  <c r="X13" i="31"/>
  <c r="X27" i="31" s="1"/>
  <c r="A2" i="31" a="1"/>
  <c r="A2" i="31" s="1"/>
  <c r="L17" i="31" s="1"/>
  <c r="W27" i="30"/>
  <c r="V27" i="30"/>
  <c r="S27" i="30"/>
  <c r="R27" i="30"/>
  <c r="N27" i="30"/>
  <c r="M27" i="30"/>
  <c r="G27" i="30"/>
  <c r="B27" i="30"/>
  <c r="X26" i="30"/>
  <c r="X25" i="30"/>
  <c r="X24" i="30"/>
  <c r="X23" i="30"/>
  <c r="X22" i="30"/>
  <c r="X21" i="30"/>
  <c r="X20" i="30"/>
  <c r="X19" i="30"/>
  <c r="X18" i="30"/>
  <c r="X17" i="30"/>
  <c r="X16" i="30"/>
  <c r="X15" i="30"/>
  <c r="X14" i="30"/>
  <c r="X13" i="30"/>
  <c r="X27" i="30" s="1"/>
  <c r="A2" i="30" a="1"/>
  <c r="A2" i="30" s="1"/>
  <c r="W27" i="29"/>
  <c r="V27" i="29"/>
  <c r="S27" i="29"/>
  <c r="R27" i="29"/>
  <c r="N27" i="29"/>
  <c r="M27" i="29"/>
  <c r="G27" i="29"/>
  <c r="B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27" i="29" s="1"/>
  <c r="A2" i="29" a="1"/>
  <c r="A2" i="29" s="1"/>
  <c r="W27" i="28"/>
  <c r="V27" i="28"/>
  <c r="S27" i="28"/>
  <c r="R27" i="28"/>
  <c r="N27" i="28"/>
  <c r="M27" i="28"/>
  <c r="G27" i="28"/>
  <c r="B27" i="28"/>
  <c r="X26" i="28"/>
  <c r="X25" i="28"/>
  <c r="X24" i="28"/>
  <c r="X23" i="28"/>
  <c r="X22" i="28"/>
  <c r="X21" i="28"/>
  <c r="X20" i="28"/>
  <c r="X19" i="28"/>
  <c r="X18" i="28"/>
  <c r="X17" i="28"/>
  <c r="X16" i="28"/>
  <c r="X15" i="28"/>
  <c r="X14" i="28"/>
  <c r="X13" i="28"/>
  <c r="X27" i="28" s="1"/>
  <c r="A2" i="28" a="1"/>
  <c r="A2" i="28" s="1"/>
  <c r="L17" i="28" s="1"/>
  <c r="W27" i="27"/>
  <c r="V27" i="27"/>
  <c r="S27" i="27"/>
  <c r="R27" i="27"/>
  <c r="N27" i="27"/>
  <c r="M27" i="27"/>
  <c r="G27" i="27"/>
  <c r="B27" i="27"/>
  <c r="X26" i="27"/>
  <c r="X25" i="27"/>
  <c r="X24" i="27"/>
  <c r="X23" i="27"/>
  <c r="X22" i="27"/>
  <c r="X21" i="27"/>
  <c r="X20" i="27"/>
  <c r="X19" i="27"/>
  <c r="X18" i="27"/>
  <c r="X17" i="27"/>
  <c r="X16" i="27"/>
  <c r="X15" i="27"/>
  <c r="X14" i="27"/>
  <c r="X13" i="27"/>
  <c r="X27" i="27" s="1"/>
  <c r="A2" i="27" a="1"/>
  <c r="A2" i="27" s="1"/>
  <c r="L13" i="27" s="1"/>
  <c r="W27" i="26"/>
  <c r="V27" i="26"/>
  <c r="S27" i="26"/>
  <c r="R27" i="26"/>
  <c r="N27" i="26"/>
  <c r="M27" i="26"/>
  <c r="G27" i="26"/>
  <c r="B27" i="26"/>
  <c r="X26" i="26"/>
  <c r="X25" i="26"/>
  <c r="X24" i="26"/>
  <c r="X23" i="26"/>
  <c r="X22" i="26"/>
  <c r="X21" i="26"/>
  <c r="X20" i="26"/>
  <c r="X19" i="26"/>
  <c r="X18" i="26"/>
  <c r="X17" i="26"/>
  <c r="X16" i="26"/>
  <c r="X15" i="26"/>
  <c r="X14" i="26"/>
  <c r="X13" i="26"/>
  <c r="X27" i="26" s="1"/>
  <c r="A2" i="26" a="1"/>
  <c r="A2" i="26" s="1"/>
  <c r="Q13" i="36" l="1"/>
  <c r="L14" i="36"/>
  <c r="Q17" i="36"/>
  <c r="L18" i="36"/>
  <c r="Q14" i="36"/>
  <c r="L15" i="36"/>
  <c r="Q15" i="36"/>
  <c r="L16" i="36"/>
  <c r="L13" i="36"/>
  <c r="Q16" i="36"/>
  <c r="Q13" i="35"/>
  <c r="L14" i="35"/>
  <c r="Q17" i="35"/>
  <c r="L18" i="35"/>
  <c r="Q14" i="35"/>
  <c r="L15" i="35"/>
  <c r="Q15" i="35"/>
  <c r="L16" i="35"/>
  <c r="L13" i="35"/>
  <c r="Q16" i="35"/>
  <c r="L17" i="34"/>
  <c r="Q16" i="34"/>
  <c r="L13" i="34"/>
  <c r="L16" i="34"/>
  <c r="Q15" i="34"/>
  <c r="L15" i="34"/>
  <c r="Q14" i="34"/>
  <c r="L18" i="34"/>
  <c r="Q17" i="34"/>
  <c r="L14" i="34"/>
  <c r="Q13" i="34"/>
  <c r="Q13" i="33"/>
  <c r="L14" i="33"/>
  <c r="Q17" i="33"/>
  <c r="L18" i="33"/>
  <c r="Q14" i="33"/>
  <c r="L15" i="33"/>
  <c r="Q15" i="33"/>
  <c r="L16" i="33"/>
  <c r="L13" i="33"/>
  <c r="Q16" i="33"/>
  <c r="Q13" i="32"/>
  <c r="L14" i="32"/>
  <c r="Q17" i="32"/>
  <c r="L18" i="32"/>
  <c r="Q14" i="32"/>
  <c r="L15" i="32"/>
  <c r="Q15" i="32"/>
  <c r="L16" i="32"/>
  <c r="L13" i="32"/>
  <c r="Q16" i="32"/>
  <c r="Q13" i="31"/>
  <c r="L14" i="31"/>
  <c r="Q17" i="31"/>
  <c r="L18" i="31"/>
  <c r="Q14" i="31"/>
  <c r="L15" i="31"/>
  <c r="Q15" i="31"/>
  <c r="L16" i="31"/>
  <c r="L13" i="31"/>
  <c r="Q16" i="31"/>
  <c r="L17" i="30"/>
  <c r="Q16" i="30"/>
  <c r="L13" i="30"/>
  <c r="L16" i="30"/>
  <c r="Q15" i="30"/>
  <c r="L14" i="30"/>
  <c r="Q13" i="30"/>
  <c r="L15" i="30"/>
  <c r="Q14" i="30"/>
  <c r="L18" i="30"/>
  <c r="Q17" i="30"/>
  <c r="L17" i="29"/>
  <c r="Q16" i="29"/>
  <c r="L13" i="29"/>
  <c r="L15" i="29"/>
  <c r="Q14" i="29"/>
  <c r="Q17" i="29"/>
  <c r="L14" i="29"/>
  <c r="Q13" i="29"/>
  <c r="L16" i="29"/>
  <c r="Q15" i="29"/>
  <c r="L18" i="29"/>
  <c r="Q13" i="28"/>
  <c r="L14" i="28"/>
  <c r="Q17" i="28"/>
  <c r="L18" i="28"/>
  <c r="Q14" i="28"/>
  <c r="L15" i="28"/>
  <c r="Q15" i="28"/>
  <c r="L16" i="28"/>
  <c r="L13" i="28"/>
  <c r="Q16" i="28"/>
  <c r="Q16" i="27"/>
  <c r="L17" i="27"/>
  <c r="Q13" i="27"/>
  <c r="L14" i="27"/>
  <c r="Q17" i="27"/>
  <c r="L18" i="27"/>
  <c r="Q14" i="27"/>
  <c r="L15" i="27"/>
  <c r="Q15" i="27"/>
  <c r="L16" i="27"/>
  <c r="L15" i="26"/>
  <c r="Q14" i="26"/>
  <c r="L13" i="26"/>
  <c r="Q16" i="26"/>
  <c r="L17" i="26"/>
  <c r="Q13" i="26"/>
  <c r="L14" i="26"/>
  <c r="Q17" i="26"/>
  <c r="L18" i="26"/>
  <c r="Q15" i="26"/>
  <c r="L16" i="26"/>
  <c r="B5" i="36" a="1"/>
  <c r="D7" i="36" a="1"/>
  <c r="C16" i="36" a="1"/>
  <c r="C13" i="36" a="1"/>
  <c r="C17" i="36" a="1"/>
  <c r="H20" i="36" a="1"/>
  <c r="H16" i="36" a="1"/>
  <c r="H13" i="36" a="1"/>
  <c r="H17" i="36" a="1"/>
  <c r="H14" i="36" a="1"/>
  <c r="H18" i="36" a="1"/>
  <c r="C7" i="36" a="1"/>
  <c r="H21" i="36" a="1"/>
  <c r="C14" i="36" a="1"/>
  <c r="C18" i="36" a="1"/>
  <c r="B7" i="36" a="1"/>
  <c r="B6" i="36" a="1"/>
  <c r="H15" i="36" a="1"/>
  <c r="H19" i="36" a="1"/>
  <c r="C15" i="36" a="1"/>
  <c r="C13" i="35" a="1"/>
  <c r="B7" i="35" a="1"/>
  <c r="C17" i="35" a="1"/>
  <c r="H20" i="35" a="1"/>
  <c r="H16" i="35" a="1"/>
  <c r="B5" i="35" a="1"/>
  <c r="D7" i="35" a="1"/>
  <c r="C16" i="35" a="1"/>
  <c r="H14" i="35" a="1"/>
  <c r="H18" i="35" a="1"/>
  <c r="C7" i="35" a="1"/>
  <c r="H21" i="35" a="1"/>
  <c r="H13" i="35" a="1"/>
  <c r="H17" i="35" a="1"/>
  <c r="C14" i="35" a="1"/>
  <c r="C18" i="35" a="1"/>
  <c r="B6" i="35" a="1"/>
  <c r="H15" i="35" a="1"/>
  <c r="H19" i="35" a="1"/>
  <c r="C15" i="35" a="1"/>
  <c r="C18" i="34" a="1"/>
  <c r="C14" i="34" a="1"/>
  <c r="H21" i="34" a="1"/>
  <c r="C7" i="34" a="1"/>
  <c r="H18" i="34" a="1"/>
  <c r="H14" i="34" a="1"/>
  <c r="H17" i="34" a="1"/>
  <c r="H13" i="34" a="1"/>
  <c r="H16" i="34" a="1"/>
  <c r="H20" i="34" a="1"/>
  <c r="C17" i="34" a="1"/>
  <c r="C13" i="34" a="1"/>
  <c r="C16" i="34" a="1"/>
  <c r="D7" i="34" a="1"/>
  <c r="B5" i="34" a="1"/>
  <c r="C15" i="34" a="1"/>
  <c r="H19" i="34" a="1"/>
  <c r="H15" i="34" a="1"/>
  <c r="B6" i="34" a="1"/>
  <c r="B7" i="34" a="1"/>
  <c r="C13" i="33" a="1"/>
  <c r="B7" i="33" a="1"/>
  <c r="C17" i="33" a="1"/>
  <c r="H20" i="33" a="1"/>
  <c r="H16" i="33" a="1"/>
  <c r="B5" i="33" a="1"/>
  <c r="D7" i="33" a="1"/>
  <c r="C16" i="33" a="1"/>
  <c r="H14" i="33" a="1"/>
  <c r="H18" i="33" a="1"/>
  <c r="C7" i="33" a="1"/>
  <c r="H21" i="33" a="1"/>
  <c r="H13" i="33" a="1"/>
  <c r="H17" i="33" a="1"/>
  <c r="C14" i="33" a="1"/>
  <c r="C18" i="33" a="1"/>
  <c r="B6" i="33" a="1"/>
  <c r="H15" i="33" a="1"/>
  <c r="H19" i="33" a="1"/>
  <c r="C15" i="33" a="1"/>
  <c r="B5" i="32" a="1"/>
  <c r="D7" i="32" a="1"/>
  <c r="C16" i="32" a="1"/>
  <c r="C13" i="32" a="1"/>
  <c r="C17" i="32" a="1"/>
  <c r="H20" i="32" a="1"/>
  <c r="H16" i="32" a="1"/>
  <c r="H13" i="32" a="1"/>
  <c r="H17" i="32" a="1"/>
  <c r="H14" i="32" a="1"/>
  <c r="H18" i="32" a="1"/>
  <c r="C7" i="32" a="1"/>
  <c r="H21" i="32" a="1"/>
  <c r="C14" i="32" a="1"/>
  <c r="C18" i="32" a="1"/>
  <c r="B7" i="32" a="1"/>
  <c r="B6" i="32" a="1"/>
  <c r="H15" i="32" a="1"/>
  <c r="H19" i="32" a="1"/>
  <c r="C15" i="32" a="1"/>
  <c r="B5" i="31" a="1"/>
  <c r="D7" i="31" a="1"/>
  <c r="C16" i="31" a="1"/>
  <c r="C13" i="31" a="1"/>
  <c r="C17" i="31" a="1"/>
  <c r="H20" i="31" a="1"/>
  <c r="H16" i="31" a="1"/>
  <c r="H13" i="31" a="1"/>
  <c r="H17" i="31" a="1"/>
  <c r="H14" i="31" a="1"/>
  <c r="H18" i="31" a="1"/>
  <c r="C7" i="31" a="1"/>
  <c r="H21" i="31" a="1"/>
  <c r="C14" i="31" a="1"/>
  <c r="C18" i="31" a="1"/>
  <c r="B7" i="31" a="1"/>
  <c r="B6" i="31" a="1"/>
  <c r="H15" i="31" a="1"/>
  <c r="H19" i="31" a="1"/>
  <c r="C15" i="31" a="1"/>
  <c r="C18" i="30" a="1"/>
  <c r="C14" i="30" a="1"/>
  <c r="C17" i="30" a="1"/>
  <c r="C13" i="30" a="1"/>
  <c r="B7" i="30" a="1"/>
  <c r="H21" i="30" a="1"/>
  <c r="C7" i="30" a="1"/>
  <c r="H17" i="30" a="1"/>
  <c r="D7" i="30" a="1"/>
  <c r="C15" i="30" a="1"/>
  <c r="H16" i="30" a="1"/>
  <c r="H20" i="30" a="1"/>
  <c r="C16" i="30" a="1"/>
  <c r="B5" i="30" a="1"/>
  <c r="H19" i="30" a="1"/>
  <c r="H15" i="30" a="1"/>
  <c r="B6" i="30" a="1"/>
  <c r="H18" i="30" a="1"/>
  <c r="H14" i="30" a="1"/>
  <c r="H13" i="30" a="1"/>
  <c r="C18" i="29" a="1"/>
  <c r="C14" i="29" a="1"/>
  <c r="D7" i="29" a="1"/>
  <c r="C17" i="29" a="1"/>
  <c r="H21" i="29" a="1"/>
  <c r="C7" i="29" a="1"/>
  <c r="H18" i="29" a="1"/>
  <c r="H17" i="29" a="1"/>
  <c r="H16" i="29" a="1"/>
  <c r="H20" i="29" a="1"/>
  <c r="H14" i="29" a="1"/>
  <c r="C16" i="29" a="1"/>
  <c r="B5" i="29" a="1"/>
  <c r="C15" i="29" a="1"/>
  <c r="B7" i="29" a="1"/>
  <c r="H19" i="29" a="1"/>
  <c r="H15" i="29" a="1"/>
  <c r="B6" i="29" a="1"/>
  <c r="C13" i="29" a="1"/>
  <c r="H13" i="29" a="1"/>
  <c r="C13" i="28" a="1"/>
  <c r="B7" i="28" a="1"/>
  <c r="C17" i="28" a="1"/>
  <c r="H20" i="28" a="1"/>
  <c r="H16" i="28" a="1"/>
  <c r="B5" i="28" a="1"/>
  <c r="D7" i="28" a="1"/>
  <c r="C16" i="28" a="1"/>
  <c r="H14" i="28" a="1"/>
  <c r="H18" i="28" a="1"/>
  <c r="C7" i="28" a="1"/>
  <c r="H21" i="28" a="1"/>
  <c r="H13" i="28" a="1"/>
  <c r="H17" i="28" a="1"/>
  <c r="C14" i="28" a="1"/>
  <c r="C18" i="28" a="1"/>
  <c r="B6" i="28" a="1"/>
  <c r="H15" i="28" a="1"/>
  <c r="H19" i="28" a="1"/>
  <c r="C15" i="28" a="1"/>
  <c r="C13" i="27" a="1"/>
  <c r="C17" i="27" a="1"/>
  <c r="H20" i="27" a="1"/>
  <c r="B7" i="27" a="1"/>
  <c r="H18" i="27" a="1"/>
  <c r="C7" i="27" a="1"/>
  <c r="H21" i="27" a="1"/>
  <c r="C15" i="27" a="1"/>
  <c r="B5" i="27" a="1"/>
  <c r="D7" i="27" a="1"/>
  <c r="C16" i="27" a="1"/>
  <c r="H14" i="27" a="1"/>
  <c r="C14" i="27" a="1"/>
  <c r="C18" i="27" a="1"/>
  <c r="H16" i="27" a="1"/>
  <c r="H13" i="27" a="1"/>
  <c r="H17" i="27" a="1"/>
  <c r="B6" i="27" a="1"/>
  <c r="H15" i="27" a="1"/>
  <c r="H19" i="27" a="1"/>
  <c r="H21" i="26" a="1"/>
  <c r="C13" i="26" a="1"/>
  <c r="H14" i="26" a="1"/>
  <c r="C15" i="26" a="1"/>
  <c r="B5" i="26" a="1"/>
  <c r="D7" i="26" a="1"/>
  <c r="C16" i="26" a="1"/>
  <c r="C17" i="26" a="1"/>
  <c r="H20" i="26" a="1"/>
  <c r="H16" i="26" a="1"/>
  <c r="H13" i="26" a="1"/>
  <c r="H17" i="26" a="1"/>
  <c r="H18" i="26" a="1"/>
  <c r="C7" i="26" a="1"/>
  <c r="C14" i="26" a="1"/>
  <c r="C18" i="26" a="1"/>
  <c r="B7" i="26" a="1"/>
  <c r="B6" i="26" a="1"/>
  <c r="H15" i="26" a="1"/>
  <c r="H19" i="26" a="1"/>
  <c r="C15" i="36" l="1"/>
  <c r="D15" i="36" s="1"/>
  <c r="H19" i="36"/>
  <c r="I19" i="36" s="1"/>
  <c r="H15" i="36"/>
  <c r="I15" i="36" s="1"/>
  <c r="B6" i="36"/>
  <c r="B7" i="36"/>
  <c r="C18" i="36"/>
  <c r="D18" i="36" s="1"/>
  <c r="C14" i="36"/>
  <c r="D14" i="36" s="1"/>
  <c r="H21" i="36"/>
  <c r="I21" i="36" s="1"/>
  <c r="C7" i="36"/>
  <c r="H18" i="36"/>
  <c r="I18" i="36" s="1"/>
  <c r="H14" i="36"/>
  <c r="I14" i="36" s="1"/>
  <c r="H17" i="36"/>
  <c r="I17" i="36" s="1"/>
  <c r="H13" i="36"/>
  <c r="H16" i="36"/>
  <c r="I16" i="36" s="1"/>
  <c r="H20" i="36"/>
  <c r="I20" i="36" s="1"/>
  <c r="C17" i="36"/>
  <c r="D17" i="36" s="1"/>
  <c r="C13" i="36"/>
  <c r="C16" i="36"/>
  <c r="D16" i="36" s="1"/>
  <c r="D7" i="36"/>
  <c r="B5" i="36"/>
  <c r="C13" i="35"/>
  <c r="D13" i="35" s="1"/>
  <c r="C15" i="35"/>
  <c r="D15" i="35" s="1"/>
  <c r="H19" i="35"/>
  <c r="I19" i="35" s="1"/>
  <c r="H15" i="35"/>
  <c r="I15" i="35" s="1"/>
  <c r="B6" i="35"/>
  <c r="C18" i="35"/>
  <c r="D18" i="35" s="1"/>
  <c r="C14" i="35"/>
  <c r="D14" i="35" s="1"/>
  <c r="H17" i="35"/>
  <c r="I17" i="35" s="1"/>
  <c r="H13" i="35"/>
  <c r="H21" i="35"/>
  <c r="I21" i="35" s="1"/>
  <c r="C7" i="35"/>
  <c r="H18" i="35"/>
  <c r="I18" i="35" s="1"/>
  <c r="H14" i="35"/>
  <c r="I14" i="35" s="1"/>
  <c r="C16" i="35"/>
  <c r="D16" i="35" s="1"/>
  <c r="D7" i="35"/>
  <c r="B5" i="35"/>
  <c r="H16" i="35"/>
  <c r="I16" i="35" s="1"/>
  <c r="H20" i="35"/>
  <c r="I20" i="35" s="1"/>
  <c r="C17" i="35"/>
  <c r="D17" i="35" s="1"/>
  <c r="B7" i="35"/>
  <c r="B7" i="34"/>
  <c r="B6" i="34"/>
  <c r="H15" i="34"/>
  <c r="I15" i="34" s="1"/>
  <c r="H19" i="34"/>
  <c r="I19" i="34" s="1"/>
  <c r="C15" i="34"/>
  <c r="D15" i="34" s="1"/>
  <c r="B5" i="34"/>
  <c r="D7" i="34"/>
  <c r="C16" i="34"/>
  <c r="D16" i="34" s="1"/>
  <c r="C13" i="34"/>
  <c r="C17" i="34"/>
  <c r="D17" i="34" s="1"/>
  <c r="H20" i="34"/>
  <c r="I20" i="34" s="1"/>
  <c r="H16" i="34"/>
  <c r="I16" i="34" s="1"/>
  <c r="H13" i="34"/>
  <c r="H17" i="34"/>
  <c r="I17" i="34" s="1"/>
  <c r="H14" i="34"/>
  <c r="I14" i="34" s="1"/>
  <c r="H18" i="34"/>
  <c r="I18" i="34" s="1"/>
  <c r="C7" i="34"/>
  <c r="H21" i="34"/>
  <c r="I21" i="34" s="1"/>
  <c r="C14" i="34"/>
  <c r="D14" i="34" s="1"/>
  <c r="C18" i="34"/>
  <c r="D18" i="34" s="1"/>
  <c r="C13" i="33"/>
  <c r="C15" i="33"/>
  <c r="D15" i="33" s="1"/>
  <c r="H19" i="33"/>
  <c r="I19" i="33" s="1"/>
  <c r="H15" i="33"/>
  <c r="I15" i="33" s="1"/>
  <c r="B6" i="33"/>
  <c r="C18" i="33"/>
  <c r="D18" i="33" s="1"/>
  <c r="C14" i="33"/>
  <c r="D14" i="33" s="1"/>
  <c r="H17" i="33"/>
  <c r="I17" i="33" s="1"/>
  <c r="H13" i="33"/>
  <c r="H21" i="33"/>
  <c r="I21" i="33" s="1"/>
  <c r="C7" i="33"/>
  <c r="H18" i="33"/>
  <c r="I18" i="33" s="1"/>
  <c r="H14" i="33"/>
  <c r="I14" i="33" s="1"/>
  <c r="C16" i="33"/>
  <c r="D16" i="33" s="1"/>
  <c r="D7" i="33"/>
  <c r="B5" i="33"/>
  <c r="H16" i="33"/>
  <c r="I16" i="33" s="1"/>
  <c r="H20" i="33"/>
  <c r="I20" i="33" s="1"/>
  <c r="C17" i="33"/>
  <c r="D17" i="33" s="1"/>
  <c r="B7" i="33"/>
  <c r="C15" i="32"/>
  <c r="D15" i="32" s="1"/>
  <c r="H19" i="32"/>
  <c r="I19" i="32" s="1"/>
  <c r="H15" i="32"/>
  <c r="I15" i="32" s="1"/>
  <c r="B6" i="32"/>
  <c r="B7" i="32"/>
  <c r="C18" i="32"/>
  <c r="D18" i="32" s="1"/>
  <c r="C14" i="32"/>
  <c r="D14" i="32" s="1"/>
  <c r="H21" i="32"/>
  <c r="I21" i="32" s="1"/>
  <c r="C7" i="32"/>
  <c r="H18" i="32"/>
  <c r="I18" i="32" s="1"/>
  <c r="H14" i="32"/>
  <c r="I14" i="32" s="1"/>
  <c r="H17" i="32"/>
  <c r="I17" i="32" s="1"/>
  <c r="H13" i="32"/>
  <c r="H16" i="32"/>
  <c r="I16" i="32" s="1"/>
  <c r="H20" i="32"/>
  <c r="I20" i="32" s="1"/>
  <c r="C17" i="32"/>
  <c r="D17" i="32" s="1"/>
  <c r="C13" i="32"/>
  <c r="C16" i="32"/>
  <c r="D16" i="32" s="1"/>
  <c r="D7" i="32"/>
  <c r="B5" i="32"/>
  <c r="C15" i="31"/>
  <c r="D15" i="31" s="1"/>
  <c r="H19" i="31"/>
  <c r="I19" i="31" s="1"/>
  <c r="H15" i="31"/>
  <c r="I15" i="31" s="1"/>
  <c r="B6" i="31"/>
  <c r="B7" i="31"/>
  <c r="C18" i="31"/>
  <c r="D18" i="31" s="1"/>
  <c r="C14" i="31"/>
  <c r="D14" i="31" s="1"/>
  <c r="H21" i="31"/>
  <c r="I21" i="31" s="1"/>
  <c r="C7" i="31"/>
  <c r="H18" i="31"/>
  <c r="I18" i="31" s="1"/>
  <c r="H14" i="31"/>
  <c r="I14" i="31" s="1"/>
  <c r="H17" i="31"/>
  <c r="I17" i="31" s="1"/>
  <c r="H13" i="31"/>
  <c r="H16" i="31"/>
  <c r="I16" i="31" s="1"/>
  <c r="H20" i="31"/>
  <c r="I20" i="31" s="1"/>
  <c r="C17" i="31"/>
  <c r="D17" i="31" s="1"/>
  <c r="C13" i="31"/>
  <c r="C16" i="31"/>
  <c r="D16" i="31" s="1"/>
  <c r="D7" i="31"/>
  <c r="B5" i="31"/>
  <c r="H13" i="30"/>
  <c r="H14" i="30"/>
  <c r="I14" i="30" s="1"/>
  <c r="H18" i="30"/>
  <c r="I18" i="30" s="1"/>
  <c r="B6" i="30"/>
  <c r="H15" i="30"/>
  <c r="I15" i="30" s="1"/>
  <c r="H19" i="30"/>
  <c r="I19" i="30" s="1"/>
  <c r="B5" i="30"/>
  <c r="C16" i="30"/>
  <c r="D16" i="30" s="1"/>
  <c r="H20" i="30"/>
  <c r="I20" i="30" s="1"/>
  <c r="H16" i="30"/>
  <c r="I16" i="30" s="1"/>
  <c r="C15" i="30"/>
  <c r="D15" i="30" s="1"/>
  <c r="D7" i="30"/>
  <c r="H17" i="30"/>
  <c r="I17" i="30" s="1"/>
  <c r="C7" i="30"/>
  <c r="H21" i="30"/>
  <c r="I21" i="30" s="1"/>
  <c r="B7" i="30"/>
  <c r="C13" i="30"/>
  <c r="C17" i="30"/>
  <c r="D17" i="30" s="1"/>
  <c r="C14" i="30"/>
  <c r="D14" i="30" s="1"/>
  <c r="C18" i="30"/>
  <c r="D18" i="30" s="1"/>
  <c r="H13" i="29"/>
  <c r="C13" i="29"/>
  <c r="B6" i="29"/>
  <c r="H15" i="29"/>
  <c r="I15" i="29" s="1"/>
  <c r="H19" i="29"/>
  <c r="I19" i="29" s="1"/>
  <c r="B7" i="29"/>
  <c r="C15" i="29"/>
  <c r="D15" i="29" s="1"/>
  <c r="B5" i="29"/>
  <c r="C16" i="29"/>
  <c r="D16" i="29" s="1"/>
  <c r="H14" i="29"/>
  <c r="I14" i="29" s="1"/>
  <c r="H20" i="29"/>
  <c r="I20" i="29" s="1"/>
  <c r="H16" i="29"/>
  <c r="I16" i="29" s="1"/>
  <c r="H17" i="29"/>
  <c r="I17" i="29" s="1"/>
  <c r="H18" i="29"/>
  <c r="I18" i="29" s="1"/>
  <c r="C7" i="29"/>
  <c r="H21" i="29"/>
  <c r="I21" i="29" s="1"/>
  <c r="C17" i="29"/>
  <c r="D17" i="29" s="1"/>
  <c r="D7" i="29"/>
  <c r="C14" i="29"/>
  <c r="D14" i="29" s="1"/>
  <c r="C18" i="29"/>
  <c r="D18" i="29" s="1"/>
  <c r="C13" i="28"/>
  <c r="C15" i="28"/>
  <c r="D15" i="28" s="1"/>
  <c r="H19" i="28"/>
  <c r="I19" i="28" s="1"/>
  <c r="H15" i="28"/>
  <c r="I15" i="28" s="1"/>
  <c r="B6" i="28"/>
  <c r="C18" i="28"/>
  <c r="D18" i="28" s="1"/>
  <c r="C14" i="28"/>
  <c r="D14" i="28" s="1"/>
  <c r="H17" i="28"/>
  <c r="I17" i="28" s="1"/>
  <c r="H13" i="28"/>
  <c r="H21" i="28"/>
  <c r="I21" i="28" s="1"/>
  <c r="C7" i="28"/>
  <c r="H18" i="28"/>
  <c r="I18" i="28" s="1"/>
  <c r="H14" i="28"/>
  <c r="I14" i="28" s="1"/>
  <c r="C16" i="28"/>
  <c r="D16" i="28" s="1"/>
  <c r="D7" i="28"/>
  <c r="B5" i="28"/>
  <c r="H16" i="28"/>
  <c r="I16" i="28" s="1"/>
  <c r="H20" i="28"/>
  <c r="I20" i="28" s="1"/>
  <c r="C17" i="28"/>
  <c r="D17" i="28" s="1"/>
  <c r="B7" i="28"/>
  <c r="D13" i="28"/>
  <c r="C17" i="27"/>
  <c r="D17" i="27" s="1"/>
  <c r="C13" i="27"/>
  <c r="D13" i="27" s="1"/>
  <c r="H19" i="27"/>
  <c r="I19" i="27" s="1"/>
  <c r="H15" i="27"/>
  <c r="I15" i="27" s="1"/>
  <c r="B6" i="27"/>
  <c r="H17" i="27"/>
  <c r="I17" i="27" s="1"/>
  <c r="H13" i="27"/>
  <c r="H16" i="27"/>
  <c r="I16" i="27" s="1"/>
  <c r="C18" i="27"/>
  <c r="D18" i="27" s="1"/>
  <c r="C14" i="27"/>
  <c r="D14" i="27" s="1"/>
  <c r="H14" i="27"/>
  <c r="I14" i="27" s="1"/>
  <c r="C16" i="27"/>
  <c r="D16" i="27" s="1"/>
  <c r="D7" i="27"/>
  <c r="B5" i="27"/>
  <c r="C15" i="27"/>
  <c r="D15" i="27" s="1"/>
  <c r="H21" i="27"/>
  <c r="I21" i="27" s="1"/>
  <c r="C7" i="27"/>
  <c r="H18" i="27"/>
  <c r="I18" i="27" s="1"/>
  <c r="B7" i="27"/>
  <c r="H20" i="27"/>
  <c r="I20" i="27" s="1"/>
  <c r="H14" i="26"/>
  <c r="I14" i="26" s="1"/>
  <c r="C13" i="26"/>
  <c r="D13" i="26" s="1"/>
  <c r="H21" i="26"/>
  <c r="I21" i="26" s="1"/>
  <c r="H19" i="26"/>
  <c r="I19" i="26" s="1"/>
  <c r="H15" i="26"/>
  <c r="I15" i="26" s="1"/>
  <c r="B6" i="26"/>
  <c r="B7" i="26"/>
  <c r="C18" i="26"/>
  <c r="D18" i="26" s="1"/>
  <c r="C14" i="26"/>
  <c r="D14" i="26" s="1"/>
  <c r="C7" i="26"/>
  <c r="H18" i="26"/>
  <c r="I18" i="26" s="1"/>
  <c r="H17" i="26"/>
  <c r="I17" i="26" s="1"/>
  <c r="H13" i="26"/>
  <c r="H16" i="26"/>
  <c r="I16" i="26" s="1"/>
  <c r="H20" i="26"/>
  <c r="I20" i="26" s="1"/>
  <c r="C17" i="26"/>
  <c r="D17" i="26" s="1"/>
  <c r="C16" i="26"/>
  <c r="D16" i="26" s="1"/>
  <c r="D7" i="26"/>
  <c r="B5" i="26"/>
  <c r="C15" i="26"/>
  <c r="D15" i="26" s="1"/>
  <c r="B9" i="36" l="1"/>
  <c r="H27" i="36"/>
  <c r="I13" i="36"/>
  <c r="I27" i="36" s="1"/>
  <c r="D27" i="35"/>
  <c r="D13" i="36"/>
  <c r="D27" i="36" s="1"/>
  <c r="C27" i="36"/>
  <c r="C27" i="35"/>
  <c r="B9" i="35"/>
  <c r="H27" i="35"/>
  <c r="I13" i="35"/>
  <c r="I27" i="35" s="1"/>
  <c r="B9" i="34"/>
  <c r="H27" i="34"/>
  <c r="I13" i="34"/>
  <c r="I27" i="34" s="1"/>
  <c r="D13" i="34"/>
  <c r="D27" i="34" s="1"/>
  <c r="C27" i="34"/>
  <c r="C27" i="33"/>
  <c r="D13" i="33"/>
  <c r="D27" i="33" s="1"/>
  <c r="B9" i="33"/>
  <c r="H27" i="33"/>
  <c r="I13" i="33"/>
  <c r="I27" i="33" s="1"/>
  <c r="B9" i="32"/>
  <c r="H27" i="32"/>
  <c r="I13" i="32"/>
  <c r="I27" i="32" s="1"/>
  <c r="D13" i="32"/>
  <c r="D27" i="32" s="1"/>
  <c r="C27" i="32"/>
  <c r="D13" i="31"/>
  <c r="D27" i="31" s="1"/>
  <c r="C27" i="31"/>
  <c r="B9" i="31"/>
  <c r="H27" i="31"/>
  <c r="I13" i="31"/>
  <c r="I27" i="31" s="1"/>
  <c r="D13" i="30"/>
  <c r="D27" i="30" s="1"/>
  <c r="C27" i="30"/>
  <c r="B9" i="30"/>
  <c r="H27" i="30"/>
  <c r="I13" i="30"/>
  <c r="I27" i="30" s="1"/>
  <c r="B9" i="29"/>
  <c r="D13" i="29"/>
  <c r="D27" i="29" s="1"/>
  <c r="C27" i="29"/>
  <c r="H27" i="29"/>
  <c r="I13" i="29"/>
  <c r="I27" i="29" s="1"/>
  <c r="C27" i="28"/>
  <c r="D27" i="28"/>
  <c r="B9" i="28"/>
  <c r="H27" i="28"/>
  <c r="I13" i="28"/>
  <c r="I27" i="28" s="1"/>
  <c r="C27" i="27"/>
  <c r="D27" i="27"/>
  <c r="C27" i="26"/>
  <c r="B9" i="27"/>
  <c r="B9" i="26"/>
  <c r="H27" i="27"/>
  <c r="I13" i="27"/>
  <c r="I27" i="27" s="1"/>
  <c r="D27" i="26"/>
  <c r="I13" i="26"/>
  <c r="I27" i="26" s="1"/>
  <c r="H27" i="26"/>
  <c r="D6" i="36" a="1"/>
  <c r="C5" i="36" a="1"/>
  <c r="D5" i="36" a="1"/>
  <c r="C6" i="36" a="1"/>
  <c r="D5" i="35" a="1"/>
  <c r="C5" i="35" a="1"/>
  <c r="C6" i="35" a="1"/>
  <c r="D6" i="35" a="1"/>
  <c r="D6" i="34" a="1"/>
  <c r="D5" i="34" a="1"/>
  <c r="C5" i="34" a="1"/>
  <c r="C6" i="34" a="1"/>
  <c r="C5" i="33" a="1"/>
  <c r="D5" i="33" a="1"/>
  <c r="C6" i="33" a="1"/>
  <c r="D6" i="33" a="1"/>
  <c r="D6" i="32" a="1"/>
  <c r="D5" i="32" a="1"/>
  <c r="C5" i="32" a="1"/>
  <c r="C6" i="32" a="1"/>
  <c r="D5" i="31" a="1"/>
  <c r="C5" i="31" a="1"/>
  <c r="C6" i="31" a="1"/>
  <c r="D6" i="31" a="1"/>
  <c r="D5" i="30" a="1"/>
  <c r="C6" i="30" a="1"/>
  <c r="C5" i="30" a="1"/>
  <c r="D6" i="30" a="1"/>
  <c r="D6" i="29" a="1"/>
  <c r="C5" i="29" a="1"/>
  <c r="C6" i="29" a="1"/>
  <c r="D5" i="29" a="1"/>
  <c r="C5" i="28" a="1"/>
  <c r="D5" i="28" a="1"/>
  <c r="C6" i="28" a="1"/>
  <c r="D6" i="28" a="1"/>
  <c r="C5" i="27" a="1"/>
  <c r="D6" i="27" a="1"/>
  <c r="D5" i="27" a="1"/>
  <c r="C6" i="27" a="1"/>
  <c r="C5" i="26" a="1"/>
  <c r="C6" i="26" a="1"/>
  <c r="D5" i="26" a="1"/>
  <c r="D6" i="26" a="1"/>
  <c r="C6" i="36" l="1"/>
  <c r="D5" i="36"/>
  <c r="C5" i="36"/>
  <c r="D6" i="36"/>
  <c r="D5" i="35"/>
  <c r="D6" i="35"/>
  <c r="C6" i="35"/>
  <c r="C5" i="35"/>
  <c r="C6" i="34"/>
  <c r="C5" i="34"/>
  <c r="D5" i="34"/>
  <c r="D6" i="34"/>
  <c r="C5" i="33"/>
  <c r="D6" i="33"/>
  <c r="C6" i="33"/>
  <c r="D5" i="33"/>
  <c r="C6" i="32"/>
  <c r="C5" i="32"/>
  <c r="D5" i="32"/>
  <c r="D6" i="32"/>
  <c r="D6" i="31"/>
  <c r="C6" i="31"/>
  <c r="C5" i="31"/>
  <c r="D5" i="31"/>
  <c r="D6" i="30"/>
  <c r="C5" i="30"/>
  <c r="C6" i="30"/>
  <c r="D5" i="30"/>
  <c r="D5" i="29"/>
  <c r="C6" i="29"/>
  <c r="C5" i="29"/>
  <c r="D6" i="29"/>
  <c r="D6" i="28"/>
  <c r="C6" i="28"/>
  <c r="D5" i="28"/>
  <c r="C5" i="28"/>
  <c r="C5" i="27"/>
  <c r="C6" i="27"/>
  <c r="D5" i="27"/>
  <c r="D6" i="27"/>
  <c r="C5" i="26"/>
  <c r="D6" i="26"/>
  <c r="D5" i="26"/>
  <c r="C6" i="26"/>
  <c r="C9" i="35" l="1"/>
  <c r="C9" i="36"/>
  <c r="C9" i="34"/>
  <c r="D9" i="36"/>
  <c r="D9" i="35"/>
  <c r="D9" i="34"/>
  <c r="D9" i="33"/>
  <c r="C9" i="33"/>
  <c r="C9" i="32"/>
  <c r="D9" i="32"/>
  <c r="D9" i="31"/>
  <c r="C9" i="31"/>
  <c r="D9" i="30"/>
  <c r="C9" i="30"/>
  <c r="D9" i="28"/>
  <c r="C9" i="29"/>
  <c r="D9" i="29"/>
  <c r="C9" i="28"/>
  <c r="D9" i="27"/>
  <c r="C9" i="27"/>
  <c r="C9" i="26"/>
  <c r="D9" i="26"/>
  <c r="X27" i="1" l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W27" i="1"/>
  <c r="V27" i="1"/>
  <c r="R27" i="1"/>
  <c r="S27" i="1"/>
  <c r="M27" i="1"/>
  <c r="N27" i="1"/>
  <c r="G27" i="1"/>
  <c r="B27" i="1"/>
  <c r="A2" i="1" l="1" a="1"/>
  <c r="A2" i="1" s="1"/>
  <c r="Q17" i="1" l="1"/>
  <c r="Q16" i="1"/>
  <c r="Q15" i="1"/>
  <c r="Q14" i="1"/>
  <c r="Q13" i="1"/>
  <c r="L18" i="1"/>
  <c r="L14" i="1"/>
  <c r="L17" i="1"/>
  <c r="L13" i="1"/>
  <c r="L15" i="1"/>
  <c r="L16" i="1"/>
  <c r="B6" i="1" a="1"/>
  <c r="B7" i="1" a="1"/>
  <c r="D7" i="1" a="1"/>
  <c r="C7" i="1" a="1"/>
  <c r="B5" i="1" a="1"/>
  <c r="C7" i="1" l="1"/>
  <c r="D7" i="1"/>
  <c r="B7" i="1"/>
  <c r="B6" i="1"/>
  <c r="B5" i="1"/>
  <c r="C17" i="1" a="1"/>
  <c r="H21" i="1" a="1"/>
  <c r="H17" i="1" a="1"/>
  <c r="H20" i="1" a="1"/>
  <c r="H16" i="1" a="1"/>
  <c r="C18" i="1" a="1"/>
  <c r="H18" i="1" a="1"/>
  <c r="H14" i="1" a="1"/>
  <c r="H19" i="1" a="1"/>
  <c r="H13" i="1" a="1"/>
  <c r="C14" i="1" a="1"/>
  <c r="C13" i="1" a="1"/>
  <c r="C16" i="1" a="1"/>
  <c r="H15" i="1" a="1"/>
  <c r="C15" i="1" a="1"/>
  <c r="B9" i="1" l="1"/>
  <c r="C15" i="1"/>
  <c r="D15" i="1" s="1"/>
  <c r="H15" i="1"/>
  <c r="I15" i="1" s="1"/>
  <c r="C16" i="1"/>
  <c r="D16" i="1" s="1"/>
  <c r="C13" i="1"/>
  <c r="C14" i="1"/>
  <c r="D14" i="1" s="1"/>
  <c r="H13" i="1"/>
  <c r="H19" i="1"/>
  <c r="I19" i="1" s="1"/>
  <c r="H14" i="1"/>
  <c r="I14" i="1" s="1"/>
  <c r="H18" i="1"/>
  <c r="I18" i="1" s="1"/>
  <c r="C18" i="1"/>
  <c r="D18" i="1" s="1"/>
  <c r="H16" i="1"/>
  <c r="I16" i="1" s="1"/>
  <c r="H20" i="1"/>
  <c r="I20" i="1" s="1"/>
  <c r="H17" i="1"/>
  <c r="I17" i="1" s="1"/>
  <c r="H21" i="1"/>
  <c r="I21" i="1" s="1"/>
  <c r="C17" i="1"/>
  <c r="D17" i="1" s="1"/>
  <c r="C27" i="1" l="1"/>
  <c r="D13" i="1"/>
  <c r="D27" i="1" s="1"/>
  <c r="I13" i="1"/>
  <c r="I27" i="1" s="1"/>
  <c r="H27" i="1"/>
  <c r="D6" i="1" a="1"/>
  <c r="C6" i="1" a="1"/>
  <c r="C5" i="1" a="1"/>
  <c r="D5" i="1" a="1"/>
  <c r="C6" i="1" l="1"/>
  <c r="D6" i="1"/>
  <c r="D5" i="1"/>
  <c r="C5" i="1"/>
  <c r="D9" i="1" l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<sst xmlns="http://schemas.openxmlformats.org/spreadsheetml/2006/main" count="804" uniqueCount="47">
  <si>
    <t>Incomes</t>
  </si>
  <si>
    <t>Expenses</t>
  </si>
  <si>
    <t>Bills</t>
  </si>
  <si>
    <t>Subscriptions</t>
  </si>
  <si>
    <t>Savings</t>
  </si>
  <si>
    <t>Source</t>
  </si>
  <si>
    <t>Planned</t>
  </si>
  <si>
    <t>Actual</t>
  </si>
  <si>
    <t>Category</t>
  </si>
  <si>
    <t>Bill</t>
  </si>
  <si>
    <t>Service</t>
  </si>
  <si>
    <t>Aim</t>
  </si>
  <si>
    <t>Allowance</t>
  </si>
  <si>
    <t>Rent</t>
  </si>
  <si>
    <t>Netflix</t>
  </si>
  <si>
    <t>Scholarship</t>
  </si>
  <si>
    <t>Groceries</t>
  </si>
  <si>
    <t>Electricity</t>
  </si>
  <si>
    <t>Spotify</t>
  </si>
  <si>
    <t>Gas</t>
  </si>
  <si>
    <t>Water</t>
  </si>
  <si>
    <t>ChatGPT</t>
  </si>
  <si>
    <t>Waste</t>
  </si>
  <si>
    <t>Entertainment</t>
  </si>
  <si>
    <t>Internet</t>
  </si>
  <si>
    <t>Month</t>
  </si>
  <si>
    <t>Left</t>
  </si>
  <si>
    <t>Balance</t>
  </si>
  <si>
    <t>Financial</t>
  </si>
  <si>
    <t>Gift</t>
  </si>
  <si>
    <t>Salary</t>
  </si>
  <si>
    <t>Clothing</t>
  </si>
  <si>
    <t>Health&amp;Beauty</t>
  </si>
  <si>
    <t>Multimedia</t>
  </si>
  <si>
    <t>Studies</t>
  </si>
  <si>
    <t>Transportation</t>
  </si>
  <si>
    <t>Bookbeat</t>
  </si>
  <si>
    <t>Duolingo</t>
  </si>
  <si>
    <t>Laptop</t>
  </si>
  <si>
    <t>Summer holidays</t>
  </si>
  <si>
    <t>Other incoms</t>
  </si>
  <si>
    <t>Accomodation</t>
  </si>
  <si>
    <t>Other expences</t>
  </si>
  <si>
    <t>Rainy day</t>
  </si>
  <si>
    <t>Due</t>
  </si>
  <si>
    <t>Total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</si>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</sst>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zł&quot;_-;\-* #,##0.00\ &quot;zł&quot;_-;_-* &quot;-&quot;??\ &quot;zł&quot;_-;_-@_-"/>
    <numFmt numFmtId="165" formatCode="_-* #,##0.00\ [$zł-415]_-;\-* #,##0.00\ [$zł-415]_-;_-* &quot;-&quot;??\ [$zł-415]_-;_-@_-"/>
  </numFmts>
  <fonts count="8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4"/>
      <color theme="1"/>
      <name val="Comic Sans MS"/>
      <family val="4"/>
      <charset val="238"/>
    </font>
    <font>
      <sz val="14"/>
      <color theme="7" tint="0.79998168889431442"/>
      <name val="Comic Sans MS"/>
      <family val="4"/>
      <charset val="238"/>
    </font>
    <font>
      <sz val="14"/>
      <color theme="0"/>
      <name val="Comic Sans MS"/>
      <family val="4"/>
      <charset val="238"/>
    </font>
    <font>
      <sz val="14"/>
      <color rgb="FFFF0000"/>
      <name val="Comic Sans MS"/>
      <family val="4"/>
      <charset val="238"/>
    </font>
    <font>
      <b/>
      <sz val="14"/>
      <color theme="0"/>
      <name val="Comic Sans MS"/>
      <family val="4"/>
      <charset val="238"/>
    </font>
    <font>
      <sz val="14"/>
      <name val="Comic Sans MS"/>
      <family val="4"/>
      <charset val="238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1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165" fontId="2" fillId="3" borderId="1" xfId="1" applyNumberFormat="1" applyFont="1" applyFill="1" applyBorder="1"/>
    <xf numFmtId="165" fontId="2" fillId="4" borderId="1" xfId="0" applyNumberFormat="1" applyFont="1" applyFill="1" applyBorder="1"/>
    <xf numFmtId="0" fontId="3" fillId="0" borderId="0" xfId="0" applyFont="1"/>
    <xf numFmtId="0" fontId="4" fillId="0" borderId="0" xfId="0" applyFont="1"/>
    <xf numFmtId="0" fontId="2" fillId="0" borderId="2" xfId="0" applyFont="1" applyBorder="1"/>
    <xf numFmtId="14" fontId="5" fillId="2" borderId="1" xfId="0" applyNumberFormat="1" applyFont="1" applyFill="1" applyBorder="1"/>
    <xf numFmtId="0" fontId="2" fillId="3" borderId="5" xfId="0" applyFont="1" applyFill="1" applyBorder="1"/>
    <xf numFmtId="165" fontId="2" fillId="3" borderId="3" xfId="1" applyNumberFormat="1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2" fillId="9" borderId="8" xfId="0" applyFont="1" applyFill="1" applyBorder="1"/>
    <xf numFmtId="0" fontId="2" fillId="3" borderId="9" xfId="0" applyFont="1" applyFill="1" applyBorder="1"/>
    <xf numFmtId="165" fontId="2" fillId="3" borderId="10" xfId="1" applyNumberFormat="1" applyFont="1" applyFill="1" applyBorder="1"/>
    <xf numFmtId="165" fontId="2" fillId="3" borderId="11" xfId="1" applyNumberFormat="1" applyFont="1" applyFill="1" applyBorder="1"/>
    <xf numFmtId="0" fontId="2" fillId="2" borderId="5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2" fillId="8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4" borderId="5" xfId="0" applyFont="1" applyFill="1" applyBorder="1"/>
    <xf numFmtId="165" fontId="2" fillId="4" borderId="3" xfId="0" applyNumberFormat="1" applyFont="1" applyFill="1" applyBorder="1"/>
    <xf numFmtId="0" fontId="2" fillId="4" borderId="9" xfId="0" applyFont="1" applyFill="1" applyBorder="1"/>
    <xf numFmtId="165" fontId="2" fillId="4" borderId="10" xfId="0" applyNumberFormat="1" applyFont="1" applyFill="1" applyBorder="1"/>
    <xf numFmtId="165" fontId="2" fillId="4" borderId="11" xfId="0" applyNumberFormat="1" applyFont="1" applyFill="1" applyBorder="1"/>
    <xf numFmtId="0" fontId="2" fillId="10" borderId="5" xfId="0" applyFont="1" applyFill="1" applyBorder="1"/>
    <xf numFmtId="0" fontId="2" fillId="12" borderId="6" xfId="0" applyFont="1" applyFill="1" applyBorder="1"/>
    <xf numFmtId="0" fontId="2" fillId="12" borderId="7" xfId="0" applyFont="1" applyFill="1" applyBorder="1"/>
    <xf numFmtId="0" fontId="2" fillId="12" borderId="8" xfId="0" applyFont="1" applyFill="1" applyBorder="1"/>
    <xf numFmtId="0" fontId="2" fillId="10" borderId="9" xfId="0" applyFont="1" applyFill="1" applyBorder="1"/>
    <xf numFmtId="0" fontId="4" fillId="11" borderId="2" xfId="0" applyFont="1" applyFill="1" applyBorder="1" applyAlignment="1">
      <alignment horizontal="center"/>
    </xf>
    <xf numFmtId="0" fontId="4" fillId="11" borderId="0" xfId="0" applyFont="1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9" borderId="1" xfId="0" applyFont="1" applyFill="1" applyBorder="1"/>
    <xf numFmtId="0" fontId="7" fillId="9" borderId="1" xfId="0" applyFont="1" applyFill="1" applyBorder="1"/>
    <xf numFmtId="165" fontId="2" fillId="3" borderId="1" xfId="0" applyNumberFormat="1" applyFont="1" applyFill="1" applyBorder="1"/>
    <xf numFmtId="165" fontId="2" fillId="2" borderId="1" xfId="0" applyNumberFormat="1" applyFont="1" applyFill="1" applyBorder="1"/>
    <xf numFmtId="0" fontId="4" fillId="13" borderId="2" xfId="0" applyFont="1" applyFill="1" applyBorder="1" applyAlignment="1">
      <alignment horizontal="center"/>
    </xf>
    <xf numFmtId="0" fontId="4" fillId="13" borderId="0" xfId="0" applyFont="1" applyFill="1" applyAlignment="1">
      <alignment horizontal="center"/>
    </xf>
    <xf numFmtId="0" fontId="6" fillId="7" borderId="6" xfId="0" applyFont="1" applyFill="1" applyBorder="1"/>
    <xf numFmtId="0" fontId="6" fillId="7" borderId="7" xfId="0" applyFont="1" applyFill="1" applyBorder="1"/>
    <xf numFmtId="0" fontId="6" fillId="7" borderId="8" xfId="0" applyFont="1" applyFill="1" applyBorder="1"/>
    <xf numFmtId="0" fontId="6" fillId="7" borderId="9" xfId="0" applyFont="1" applyFill="1" applyBorder="1"/>
    <xf numFmtId="165" fontId="6" fillId="7" borderId="10" xfId="0" applyNumberFormat="1" applyFont="1" applyFill="1" applyBorder="1"/>
    <xf numFmtId="165" fontId="6" fillId="7" borderId="11" xfId="0" applyNumberFormat="1" applyFont="1" applyFill="1" applyBorder="1"/>
    <xf numFmtId="0" fontId="4" fillId="14" borderId="3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4" fillId="14" borderId="5" xfId="0" applyFont="1" applyFill="1" applyBorder="1" applyAlignment="1">
      <alignment horizontal="center"/>
    </xf>
    <xf numFmtId="165" fontId="2" fillId="10" borderId="1" xfId="1" applyNumberFormat="1" applyFont="1" applyFill="1" applyBorder="1"/>
    <xf numFmtId="165" fontId="2" fillId="10" borderId="3" xfId="1" applyNumberFormat="1" applyFont="1" applyFill="1" applyBorder="1"/>
    <xf numFmtId="165" fontId="2" fillId="10" borderId="10" xfId="1" applyNumberFormat="1" applyFont="1" applyFill="1" applyBorder="1"/>
    <xf numFmtId="165" fontId="2" fillId="10" borderId="11" xfId="1" applyNumberFormat="1" applyFont="1" applyFill="1" applyBorder="1"/>
    <xf numFmtId="0" fontId="4" fillId="12" borderId="9" xfId="0" applyFont="1" applyFill="1" applyBorder="1"/>
    <xf numFmtId="165" fontId="4" fillId="12" borderId="10" xfId="0" applyNumberFormat="1" applyFont="1" applyFill="1" applyBorder="1"/>
    <xf numFmtId="165" fontId="4" fillId="12" borderId="1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9" borderId="9" xfId="0" applyFont="1" applyFill="1" applyBorder="1"/>
    <xf numFmtId="0" fontId="4" fillId="9" borderId="10" xfId="0" applyFont="1" applyFill="1" applyBorder="1"/>
    <xf numFmtId="165" fontId="4" fillId="9" borderId="10" xfId="0" applyNumberFormat="1" applyFont="1" applyFill="1" applyBorder="1"/>
    <xf numFmtId="0" fontId="4" fillId="9" borderId="11" xfId="0" applyFont="1" applyFill="1" applyBorder="1"/>
    <xf numFmtId="14" fontId="5" fillId="3" borderId="1" xfId="0" applyNumberFormat="1" applyFont="1" applyFill="1" applyBorder="1"/>
    <xf numFmtId="0" fontId="2" fillId="3" borderId="1" xfId="0" applyFont="1" applyFill="1" applyBorder="1"/>
    <xf numFmtId="0" fontId="2" fillId="3" borderId="10" xfId="0" applyFont="1" applyFill="1" applyBorder="1"/>
    <xf numFmtId="0" fontId="4" fillId="8" borderId="9" xfId="0" applyFont="1" applyFill="1" applyBorder="1"/>
    <xf numFmtId="0" fontId="4" fillId="8" borderId="10" xfId="0" applyFont="1" applyFill="1" applyBorder="1"/>
    <xf numFmtId="165" fontId="4" fillId="8" borderId="10" xfId="0" applyNumberFormat="1" applyFont="1" applyFill="1" applyBorder="1"/>
    <xf numFmtId="0" fontId="4" fillId="8" borderId="11" xfId="0" applyFont="1" applyFill="1" applyBorder="1"/>
    <xf numFmtId="165" fontId="2" fillId="2" borderId="3" xfId="0" applyNumberFormat="1" applyFont="1" applyFill="1" applyBorder="1"/>
    <xf numFmtId="165" fontId="2" fillId="2" borderId="10" xfId="0" applyNumberFormat="1" applyFont="1" applyFill="1" applyBorder="1"/>
    <xf numFmtId="165" fontId="2" fillId="2" borderId="11" xfId="0" applyNumberFormat="1" applyFont="1" applyFill="1" applyBorder="1"/>
    <xf numFmtId="0" fontId="4" fillId="15" borderId="2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2" fillId="16" borderId="6" xfId="0" applyFont="1" applyFill="1" applyBorder="1"/>
    <xf numFmtId="0" fontId="2" fillId="16" borderId="7" xfId="0" applyFont="1" applyFill="1" applyBorder="1"/>
    <xf numFmtId="0" fontId="2" fillId="16" borderId="8" xfId="0" applyFont="1" applyFill="1" applyBorder="1"/>
    <xf numFmtId="0" fontId="2" fillId="16" borderId="9" xfId="0" applyFont="1" applyFill="1" applyBorder="1"/>
    <xf numFmtId="165" fontId="2" fillId="16" borderId="10" xfId="0" applyNumberFormat="1" applyFont="1" applyFill="1" applyBorder="1"/>
    <xf numFmtId="165" fontId="2" fillId="16" borderId="11" xfId="0" applyNumberFormat="1" applyFont="1" applyFill="1" applyBorder="1"/>
    <xf numFmtId="165" fontId="2" fillId="16" borderId="1" xfId="0" applyNumberFormat="1" applyFont="1" applyFill="1" applyBorder="1"/>
    <xf numFmtId="0" fontId="4" fillId="16" borderId="9" xfId="0" applyFont="1" applyFill="1" applyBorder="1"/>
    <xf numFmtId="165" fontId="4" fillId="16" borderId="10" xfId="0" applyNumberFormat="1" applyFont="1" applyFill="1" applyBorder="1"/>
    <xf numFmtId="165" fontId="4" fillId="16" borderId="11" xfId="0" applyNumberFormat="1" applyFont="1" applyFill="1" applyBorder="1"/>
    <xf numFmtId="165" fontId="4" fillId="16" borderId="1" xfId="0" applyNumberFormat="1" applyFont="1" applyFill="1" applyBorder="1"/>
    <xf numFmtId="0" fontId="2" fillId="17" borderId="5" xfId="0" applyFont="1" applyFill="1" applyBorder="1"/>
    <xf numFmtId="165" fontId="2" fillId="17" borderId="1" xfId="0" applyNumberFormat="1" applyFont="1" applyFill="1" applyBorder="1"/>
    <xf numFmtId="165" fontId="2" fillId="17" borderId="3" xfId="0" applyNumberFormat="1" applyFont="1" applyFill="1" applyBorder="1"/>
  </cellXfs>
  <cellStyles count="2">
    <cellStyle name="Currency" xfId="1" builtinId="4"/>
    <cellStyle name="Normal" xfId="0" builtinId="0"/>
  </cellStyles>
  <dxfs count="8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4EA4D8"/>
        </patternFill>
      </fill>
    </dxf>
    <dxf>
      <fill>
        <patternFill patternType="solid">
          <fgColor rgb="FF000000"/>
          <bgColor rgb="FFC4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D96A75"/>
        </patternFill>
      </fill>
    </dxf>
    <dxf>
      <fill>
        <patternFill patternType="solid">
          <fgColor rgb="FF000000"/>
          <bgColor rgb="FFF2CCD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9F88B7"/>
        </patternFill>
      </fill>
    </dxf>
    <dxf>
      <fill>
        <patternFill patternType="solid">
          <fgColor rgb="FF000000"/>
          <bgColor rgb="FFDFD8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ill>
        <patternFill patternType="solid">
          <fgColor rgb="FF000000"/>
          <bgColor rgb="FFD9EA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2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theme="8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</font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b/>
        <i/>
        <color theme="5" tint="0.39994506668294322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Light16">
    <tableStyle name="Table Style" pivot="0" count="1" xr9:uid="{9186B6AD-1665-4F74-9CF2-F839F38C8769}">
      <tableStyleElement type="wholeTable" dxfId="829"/>
    </tableStyle>
    <tableStyle name="Table Style Mine" pivot="0" count="1" xr9:uid="{24B62284-CFD2-4A14-AE2B-17A7B7FDD7B4}">
      <tableStyleElement type="wholeTable" dxfId="8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8-4A7E-8CE5-C769EA05239E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8-4A7E-8CE5-C769EA052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BD6-47F8-8CED-5B6A70C0B20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BD6-47F8-8CED-5B6A70C0B20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BD6-47F8-8CED-5B6A70C0B20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BD6-47F8-8CED-5B6A70C0B20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BD6-47F8-8CED-5B6A70C0B20E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51C-452A-A20D-58552FF1E396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1C-452A-A20D-58552FF1E396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51C-452A-A20D-58552FF1E396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1C-452A-A20D-58552FF1E396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1C-452A-A20D-58552FF1E396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1C-452A-A20D-58552FF1E396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1C-452A-A20D-58552FF1E396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1C-452A-A20D-58552FF1E396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1C-452A-A20D-58552FF1E396}"/>
            </c:ext>
          </c:extLst>
        </c:ser>
        <c:ser>
          <c:idx val="1"/>
          <c:order val="1"/>
          <c:tx>
            <c:strRef>
              <c:f>'1'!$H$12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BD6-47F8-8CED-5B6A70C0B20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BD6-47F8-8CED-5B6A70C0B20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BD6-47F8-8CED-5B6A70C0B20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BD6-47F8-8CED-5B6A70C0B20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BD6-47F8-8CED-5B6A70C0B20E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51C-452A-A20D-58552FF1E396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51C-452A-A20D-58552FF1E396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51C-452A-A20D-58552FF1E396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1C-452A-A20D-58552FF1E396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1C-452A-A20D-58552FF1E396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51C-452A-A20D-58552FF1E396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1C-452A-A20D-58552FF1E396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1C-452A-A20D-58552FF1E396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80</c:v>
                </c:pt>
                <c:pt idx="2">
                  <c:v>85</c:v>
                </c:pt>
                <c:pt idx="3">
                  <c:v>1715</c:v>
                </c:pt>
                <c:pt idx="4">
                  <c:v>100</c:v>
                </c:pt>
                <c:pt idx="5">
                  <c:v>150</c:v>
                </c:pt>
                <c:pt idx="6">
                  <c:v>500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1C-452A-A20D-58552FF1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4D-4272-9563-1451B7B7C0C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44D-4272-9563-1451B7B7C0C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44D-4272-9563-1451B7B7C0C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44D-4272-9563-1451B7B7C0C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44D-4272-9563-1451B7B7C0C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44D-4272-9563-1451B7B7C0C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44D-4272-9563-1451B7B7C0C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44D-4272-9563-1451B7B7C0C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44D-4272-9563-1451B7B7C0CB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A-4B95-98D2-62564A6546AA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A-4B95-98D2-62564A6546AA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8A-4B95-98D2-62564A6546AA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A-4B95-98D2-62564A6546AA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A-4B95-98D2-62564A6546AA}"/>
            </c:ext>
          </c:extLst>
        </c:ser>
        <c:ser>
          <c:idx val="1"/>
          <c:order val="1"/>
          <c:tx>
            <c:strRef>
              <c:f>'1'!$C$12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68A-4B95-98D2-62564A6546A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44D-4272-9563-1451B7B7C0C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44D-4272-9563-1451B7B7C0C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44D-4272-9563-1451B7B7C0C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44D-4272-9563-1451B7B7C0C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44D-4272-9563-1451B7B7C0C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44D-4272-9563-1451B7B7C0C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44D-4272-9563-1451B7B7C0C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44D-4272-9563-1451B7B7C0CB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A-4B95-98D2-62564A6546AA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A-4B95-98D2-62564A6546AA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8A-4B95-98D2-62564A6546AA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A-4B95-98D2-62564A6546AA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A-4B95-98D2-62564A6546AA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'1'!$C$13:$C$26</c:f>
              <c:numCache>
                <c:formatCode>_-* #,##0.00\ [$zł-415]_-;\-* #,##0.00\ [$zł-415]_-;_-* "-"??\ [$zł-415]_-;_-@_-</c:formatCode>
                <c:ptCount val="14"/>
                <c:pt idx="0">
                  <c:v>250</c:v>
                </c:pt>
                <c:pt idx="1">
                  <c:v>105.5</c:v>
                </c:pt>
                <c:pt idx="2">
                  <c:v>0</c:v>
                </c:pt>
                <c:pt idx="3">
                  <c:v>800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A-4B95-98D2-62564A654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1-4A7A-8D7D-09366F2EECB9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'2'!$C$5:$C$7</c:f>
              <c:numCache>
                <c:formatCode>_-* #,##0.00\ [$zł-415]_-;\-* #,##0.00\ [$zł-415]_-;_-* "-"??\ [$zł-415]_-;_-@_-</c:formatCode>
                <c:ptCount val="3"/>
                <c:pt idx="0">
                  <c:v>6565</c:v>
                </c:pt>
                <c:pt idx="1">
                  <c:v>4100.5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1-4A7A-8D7D-09366F2EE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4E-472E-A9F1-8B3A7DF558C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4E-472E-A9F1-8B3A7DF558C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4E-472E-A9F1-8B3A7DF558C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4E-472E-A9F1-8B3A7DF558C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4E-472E-A9F1-8B3A7DF558C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4E-472E-A9F1-8B3A7DF558C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24E-472E-A9F1-8B3A7DF558C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24E-472E-A9F1-8B3A7DF558C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24E-472E-A9F1-8B3A7DF558C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24E-472E-A9F1-8B3A7DF558C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24E-472E-A9F1-8B3A7DF558C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24E-472E-A9F1-8B3A7DF558C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24E-472E-A9F1-8B3A7DF558C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24E-472E-A9F1-8B3A7DF558CA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4E-472E-A9F1-8B3A7DF558CA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4E-472E-A9F1-8B3A7DF558CA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4E-472E-A9F1-8B3A7DF558CA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4E-472E-A9F1-8B3A7DF558CA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4E-472E-A9F1-8B3A7DF558CA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4E-472E-A9F1-8B3A7DF558CA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24E-472E-A9F1-8B3A7DF558CA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24E-472E-A9F1-8B3A7DF558CA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24E-472E-A9F1-8B3A7DF558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24E-472E-A9F1-8B3A7DF558CA}"/>
            </c:ext>
          </c:extLst>
        </c:ser>
        <c:ser>
          <c:idx val="1"/>
          <c:order val="1"/>
          <c:tx>
            <c:strRef>
              <c:f>'2'!$H$12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24E-472E-A9F1-8B3A7DF558C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24E-472E-A9F1-8B3A7DF558C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24E-472E-A9F1-8B3A7DF558C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24E-472E-A9F1-8B3A7DF558C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24E-472E-A9F1-8B3A7DF558C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24E-472E-A9F1-8B3A7DF558C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24E-472E-A9F1-8B3A7DF558C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24E-472E-A9F1-8B3A7DF558C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24E-472E-A9F1-8B3A7DF558C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24E-472E-A9F1-8B3A7DF558C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24E-472E-A9F1-8B3A7DF558C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24E-472E-A9F1-8B3A7DF558C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24E-472E-A9F1-8B3A7DF558C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24E-472E-A9F1-8B3A7DF558CA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24E-472E-A9F1-8B3A7DF558CA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24E-472E-A9F1-8B3A7DF558CA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24E-472E-A9F1-8B3A7DF558CA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24E-472E-A9F1-8B3A7DF558CA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24E-472E-A9F1-8B3A7DF558CA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24E-472E-A9F1-8B3A7DF558CA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24E-472E-A9F1-8B3A7DF558CA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24E-472E-A9F1-8B3A7DF558CA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24E-472E-A9F1-8B3A7DF558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350</c:v>
                </c:pt>
                <c:pt idx="3">
                  <c:v>405.5</c:v>
                </c:pt>
                <c:pt idx="4">
                  <c:v>250</c:v>
                </c:pt>
                <c:pt idx="5">
                  <c:v>150</c:v>
                </c:pt>
                <c:pt idx="6">
                  <c:v>765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24E-472E-A9F1-8B3A7DF5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34-4D7B-A9A8-421E049E7A4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34-4D7B-A9A8-421E049E7A4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34-4D7B-A9A8-421E049E7A4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934-4D7B-A9A8-421E049E7A4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934-4D7B-A9A8-421E049E7A4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934-4D7B-A9A8-421E049E7A4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934-4D7B-A9A8-421E049E7A4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934-4D7B-A9A8-421E049E7A4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934-4D7B-A9A8-421E049E7A4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934-4D7B-A9A8-421E049E7A4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934-4D7B-A9A8-421E049E7A4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934-4D7B-A9A8-421E049E7A4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934-4D7B-A9A8-421E049E7A4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934-4D7B-A9A8-421E049E7A46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34-4D7B-A9A8-421E049E7A46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934-4D7B-A9A8-421E049E7A46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34-4D7B-A9A8-421E049E7A46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934-4D7B-A9A8-421E049E7A46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34-4D7B-A9A8-421E049E7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934-4D7B-A9A8-421E049E7A46}"/>
            </c:ext>
          </c:extLst>
        </c:ser>
        <c:ser>
          <c:idx val="1"/>
          <c:order val="1"/>
          <c:tx>
            <c:strRef>
              <c:f>'2'!$C$12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2934-4D7B-A9A8-421E049E7A4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2934-4D7B-A9A8-421E049E7A4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2934-4D7B-A9A8-421E049E7A4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934-4D7B-A9A8-421E049E7A4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934-4D7B-A9A8-421E049E7A4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934-4D7B-A9A8-421E049E7A4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934-4D7B-A9A8-421E049E7A4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934-4D7B-A9A8-421E049E7A4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934-4D7B-A9A8-421E049E7A4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934-4D7B-A9A8-421E049E7A4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934-4D7B-A9A8-421E049E7A4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934-4D7B-A9A8-421E049E7A4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934-4D7B-A9A8-421E049E7A4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934-4D7B-A9A8-421E049E7A46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934-4D7B-A9A8-421E049E7A46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934-4D7B-A9A8-421E049E7A46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934-4D7B-A9A8-421E049E7A46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934-4D7B-A9A8-421E049E7A46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934-4D7B-A9A8-421E049E7A46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934-4D7B-A9A8-421E049E7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115</c:v>
                </c:pt>
                <c:pt idx="2">
                  <c:v>0</c:v>
                </c:pt>
                <c:pt idx="3">
                  <c:v>1950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2934-4D7B-A9A8-421E049E7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1-4CAA-B7F6-2838EAADFF1C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'3'!$C$5:$C$7</c:f>
              <c:numCache>
                <c:formatCode>_-* #,##0.00\ [$zł-415]_-;\-* #,##0.00\ [$zł-415]_-;_-* "-"??\ [$zł-415]_-;_-@_-</c:formatCode>
                <c:ptCount val="3"/>
                <c:pt idx="0">
                  <c:v>4655</c:v>
                </c:pt>
                <c:pt idx="1">
                  <c:v>3899.3900000000003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61-4CAA-B7F6-2838EAADF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CC-4D6F-BBDA-E830C8132B3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0CC-4D6F-BBDA-E830C8132B3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0CC-4D6F-BBDA-E830C8132B3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0CC-4D6F-BBDA-E830C8132B3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0CC-4D6F-BBDA-E830C8132B3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0CC-4D6F-BBDA-E830C8132B3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0CC-4D6F-BBDA-E830C8132B3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0CC-4D6F-BBDA-E830C8132B3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0CC-4D6F-BBDA-E830C8132B3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0CC-4D6F-BBDA-E830C8132B3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0CC-4D6F-BBDA-E830C8132B3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0CC-4D6F-BBDA-E830C8132B3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0CC-4D6F-BBDA-E830C8132B3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0CC-4D6F-BBDA-E830C8132B35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CC-4D6F-BBDA-E830C8132B35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CC-4D6F-BBDA-E830C8132B35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0CC-4D6F-BBDA-E830C8132B35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CC-4D6F-BBDA-E830C8132B35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0CC-4D6F-BBDA-E830C8132B35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CC-4D6F-BBDA-E830C8132B35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0CC-4D6F-BBDA-E830C8132B35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0CC-4D6F-BBDA-E830C8132B35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0CC-4D6F-BBDA-E830C8132B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0CC-4D6F-BBDA-E830C8132B35}"/>
            </c:ext>
          </c:extLst>
        </c:ser>
        <c:ser>
          <c:idx val="1"/>
          <c:order val="1"/>
          <c:tx>
            <c:strRef>
              <c:f>'3'!$H$12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0CC-4D6F-BBDA-E830C8132B3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0CC-4D6F-BBDA-E830C8132B3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0CC-4D6F-BBDA-E830C8132B3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0CC-4D6F-BBDA-E830C8132B3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0CC-4D6F-BBDA-E830C8132B3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0CC-4D6F-BBDA-E830C8132B3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0CC-4D6F-BBDA-E830C8132B3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0CC-4D6F-BBDA-E830C8132B3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0CC-4D6F-BBDA-E830C8132B3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0CC-4D6F-BBDA-E830C8132B3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0CC-4D6F-BBDA-E830C8132B3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0CC-4D6F-BBDA-E830C8132B3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0CC-4D6F-BBDA-E830C8132B3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0CC-4D6F-BBDA-E830C8132B35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CC-4D6F-BBDA-E830C8132B35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0CC-4D6F-BBDA-E830C8132B35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0CC-4D6F-BBDA-E830C8132B35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0CC-4D6F-BBDA-E830C8132B35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0CC-4D6F-BBDA-E830C8132B35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0CC-4D6F-BBDA-E830C8132B35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0CC-4D6F-BBDA-E830C8132B35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0CC-4D6F-BBDA-E830C8132B35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0CC-4D6F-BBDA-E830C8132B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469.9</c:v>
                </c:pt>
                <c:pt idx="2">
                  <c:v>200</c:v>
                </c:pt>
                <c:pt idx="3">
                  <c:v>734.99</c:v>
                </c:pt>
                <c:pt idx="4">
                  <c:v>9.5</c:v>
                </c:pt>
                <c:pt idx="5">
                  <c:v>23</c:v>
                </c:pt>
                <c:pt idx="6">
                  <c:v>300</c:v>
                </c:pt>
                <c:pt idx="7">
                  <c:v>79.5</c:v>
                </c:pt>
                <c:pt idx="8">
                  <c:v>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0CC-4D6F-BBDA-E830C8132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29-443F-8BF7-66DE45E60DF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29-443F-8BF7-66DE45E60DF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29-443F-8BF7-66DE45E60DF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29-443F-8BF7-66DE45E60DF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A29-443F-8BF7-66DE45E60DF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A29-443F-8BF7-66DE45E60DF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29-443F-8BF7-66DE45E60DF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A29-443F-8BF7-66DE45E60DF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A29-443F-8BF7-66DE45E60DF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A29-443F-8BF7-66DE45E60DF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A29-443F-8BF7-66DE45E60DF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A29-443F-8BF7-66DE45E60DF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A29-443F-8BF7-66DE45E60DF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A29-443F-8BF7-66DE45E60DF3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9-443F-8BF7-66DE45E60DF3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29-443F-8BF7-66DE45E60DF3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9-443F-8BF7-66DE45E60DF3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A29-443F-8BF7-66DE45E60DF3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9-443F-8BF7-66DE45E60D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A29-443F-8BF7-66DE45E60DF3}"/>
            </c:ext>
          </c:extLst>
        </c:ser>
        <c:ser>
          <c:idx val="1"/>
          <c:order val="1"/>
          <c:tx>
            <c:strRef>
              <c:f>'3'!$C$12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A29-443F-8BF7-66DE45E60DF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A29-443F-8BF7-66DE45E60DF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A29-443F-8BF7-66DE45E60DF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A29-443F-8BF7-66DE45E60DF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A29-443F-8BF7-66DE45E60DF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A29-443F-8BF7-66DE45E60DF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A29-443F-8BF7-66DE45E60DF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A29-443F-8BF7-66DE45E60DF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A29-443F-8BF7-66DE45E60DF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A29-443F-8BF7-66DE45E60DF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A29-443F-8BF7-66DE45E60DF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A29-443F-8BF7-66DE45E60DF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A29-443F-8BF7-66DE45E60DF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A29-443F-8BF7-66DE45E60DF3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A29-443F-8BF7-66DE45E60DF3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A29-443F-8BF7-66DE45E60DF3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A29-443F-8BF7-66DE45E60DF3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A29-443F-8BF7-66DE45E60DF3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A29-443F-8BF7-66DE45E60DF3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A29-443F-8BF7-66DE45E60D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150</c:v>
                </c:pt>
                <c:pt idx="2">
                  <c:v>5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A29-443F-8BF7-66DE45E60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D7-4440-AA70-FB60EC30BA67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'4'!$C$5:$C$7</c:f>
              <c:numCache>
                <c:formatCode>_-* #,##0.00\ [$zł-415]_-;\-* #,##0.00\ [$zł-415]_-;_-* "-"??\ [$zł-415]_-;_-@_-</c:formatCode>
                <c:ptCount val="3"/>
                <c:pt idx="0">
                  <c:v>4700</c:v>
                </c:pt>
                <c:pt idx="1">
                  <c:v>3973.16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D7-4440-AA70-FB60EC30B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71-4E55-8B0E-257CE93C377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71-4E55-8B0E-257CE93C377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71-4E55-8B0E-257CE93C377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71-4E55-8B0E-257CE93C377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71-4E55-8B0E-257CE93C377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71-4E55-8B0E-257CE93C377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B71-4E55-8B0E-257CE93C377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B71-4E55-8B0E-257CE93C377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B71-4E55-8B0E-257CE93C377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B71-4E55-8B0E-257CE93C377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B71-4E55-8B0E-257CE93C377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B71-4E55-8B0E-257CE93C377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B71-4E55-8B0E-257CE93C377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B71-4E55-8B0E-257CE93C3773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71-4E55-8B0E-257CE93C3773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71-4E55-8B0E-257CE93C3773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71-4E55-8B0E-257CE93C3773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71-4E55-8B0E-257CE93C3773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71-4E55-8B0E-257CE93C3773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71-4E55-8B0E-257CE93C3773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B71-4E55-8B0E-257CE93C3773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B71-4E55-8B0E-257CE93C3773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B71-4E55-8B0E-257CE93C37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B71-4E55-8B0E-257CE93C3773}"/>
            </c:ext>
          </c:extLst>
        </c:ser>
        <c:ser>
          <c:idx val="1"/>
          <c:order val="1"/>
          <c:tx>
            <c:strRef>
              <c:f>'4'!$H$12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B71-4E55-8B0E-257CE93C377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B71-4E55-8B0E-257CE93C377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B71-4E55-8B0E-257CE93C377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B71-4E55-8B0E-257CE93C377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4B71-4E55-8B0E-257CE93C377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4B71-4E55-8B0E-257CE93C377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4B71-4E55-8B0E-257CE93C377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4B71-4E55-8B0E-257CE93C377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4B71-4E55-8B0E-257CE93C377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4B71-4E55-8B0E-257CE93C377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4B71-4E55-8B0E-257CE93C377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4B71-4E55-8B0E-257CE93C377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4B71-4E55-8B0E-257CE93C377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4B71-4E55-8B0E-257CE93C3773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B71-4E55-8B0E-257CE93C3773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B71-4E55-8B0E-257CE93C3773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B71-4E55-8B0E-257CE93C3773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B71-4E55-8B0E-257CE93C3773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B71-4E55-8B0E-257CE93C3773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B71-4E55-8B0E-257CE93C3773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B71-4E55-8B0E-257CE93C3773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B71-4E55-8B0E-257CE93C3773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B71-4E55-8B0E-257CE93C37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149</c:v>
                </c:pt>
                <c:pt idx="2">
                  <c:v>1057.9000000000001</c:v>
                </c:pt>
                <c:pt idx="3">
                  <c:v>372.26</c:v>
                </c:pt>
                <c:pt idx="4">
                  <c:v>23.5</c:v>
                </c:pt>
                <c:pt idx="5">
                  <c:v>49</c:v>
                </c:pt>
                <c:pt idx="6">
                  <c:v>100</c:v>
                </c:pt>
                <c:pt idx="7">
                  <c:v>139</c:v>
                </c:pt>
                <c:pt idx="8">
                  <c:v>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B71-4E55-8B0E-257CE93C3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68-4487-BBD6-616458A2EAB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68-4487-BBD6-616458A2EAB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68-4487-BBD6-616458A2EAB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68-4487-BBD6-616458A2EAB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968-4487-BBD6-616458A2EAB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68-4487-BBD6-616458A2EAB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968-4487-BBD6-616458A2EAB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968-4487-BBD6-616458A2EAB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968-4487-BBD6-616458A2EAB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968-4487-BBD6-616458A2EAB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968-4487-BBD6-616458A2EAB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968-4487-BBD6-616458A2EAB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968-4487-BBD6-616458A2EAB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968-4487-BBD6-616458A2EAB0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8-4487-BBD6-616458A2EAB0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68-4487-BBD6-616458A2EAB0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68-4487-BBD6-616458A2EAB0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68-4487-BBD6-616458A2EAB0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68-4487-BBD6-616458A2EA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968-4487-BBD6-616458A2EAB0}"/>
            </c:ext>
          </c:extLst>
        </c:ser>
        <c:ser>
          <c:idx val="1"/>
          <c:order val="1"/>
          <c:tx>
            <c:strRef>
              <c:f>'4'!$C$12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0968-4487-BBD6-616458A2EAB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0968-4487-BBD6-616458A2EAB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0968-4487-BBD6-616458A2EAB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0968-4487-BBD6-616458A2EAB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0968-4487-BBD6-616458A2EAB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0968-4487-BBD6-616458A2EAB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0968-4487-BBD6-616458A2EAB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0968-4487-BBD6-616458A2EAB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0968-4487-BBD6-616458A2EAB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0968-4487-BBD6-616458A2EAB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0968-4487-BBD6-616458A2EAB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0968-4487-BBD6-616458A2EAB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0968-4487-BBD6-616458A2EAB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0968-4487-BBD6-616458A2EAB0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968-4487-BBD6-616458A2EAB0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968-4487-BBD6-616458A2EAB0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968-4487-BBD6-616458A2EAB0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968-4487-BBD6-616458A2EAB0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968-4487-BBD6-616458A2EAB0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968-4487-BBD6-616458A2EA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150</c:v>
                </c:pt>
                <c:pt idx="2">
                  <c:v>50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968-4487-BBD6-616458A2E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4-4012-91B4-163B395FACC6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'5'!$C$5:$C$7</c:f>
              <c:numCache>
                <c:formatCode>_-* #,##0.00\ [$zł-415]_-;\-* #,##0.00\ [$zł-415]_-;_-* "-"??\ [$zł-415]_-;_-@_-</c:formatCode>
                <c:ptCount val="3"/>
                <c:pt idx="0">
                  <c:v>4500</c:v>
                </c:pt>
                <c:pt idx="1">
                  <c:v>3210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E4-4012-91B4-163B395FA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49-49F2-95EF-56AC011100A0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49-49F2-95EF-56AC011100A0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49-49F2-95EF-56AC011100A0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49-49F2-95EF-56AC011100A0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49-49F2-95EF-56AC011100A0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49-49F2-95EF-56AC011100A0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49-49F2-95EF-56AC011100A0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749-49F2-95EF-56AC011100A0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749-49F2-95EF-56AC011100A0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749-49F2-95EF-56AC011100A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749-49F2-95EF-56AC011100A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749-49F2-95EF-56AC011100A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749-49F2-95EF-56AC011100A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749-49F2-95EF-56AC011100A0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9-49F2-95EF-56AC011100A0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9-49F2-95EF-56AC011100A0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9-49F2-95EF-56AC011100A0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49-49F2-95EF-56AC011100A0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49-49F2-95EF-56AC011100A0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49-49F2-95EF-56AC011100A0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49-49F2-95EF-56AC011100A0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49-49F2-95EF-56AC011100A0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49-49F2-95EF-56AC011100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749-49F2-95EF-56AC011100A0}"/>
            </c:ext>
          </c:extLst>
        </c:ser>
        <c:ser>
          <c:idx val="1"/>
          <c:order val="1"/>
          <c:tx>
            <c:strRef>
              <c:f>'5'!$H$12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749-49F2-95EF-56AC011100A0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749-49F2-95EF-56AC011100A0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749-49F2-95EF-56AC011100A0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749-49F2-95EF-56AC011100A0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749-49F2-95EF-56AC011100A0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749-49F2-95EF-56AC011100A0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749-49F2-95EF-56AC011100A0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749-49F2-95EF-56AC011100A0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749-49F2-95EF-56AC011100A0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749-49F2-95EF-56AC011100A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749-49F2-95EF-56AC011100A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749-49F2-95EF-56AC011100A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749-49F2-95EF-56AC011100A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749-49F2-95EF-56AC011100A0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749-49F2-95EF-56AC011100A0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749-49F2-95EF-56AC011100A0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749-49F2-95EF-56AC011100A0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749-49F2-95EF-56AC011100A0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749-49F2-95EF-56AC011100A0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749-49F2-95EF-56AC011100A0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749-49F2-95EF-56AC011100A0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749-49F2-95EF-56AC011100A0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749-49F2-95EF-56AC011100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80</c:v>
                </c:pt>
                <c:pt idx="3">
                  <c:v>1000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749-49F2-95EF-56AC01110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6E-4827-8980-C5D45031A95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6E-4827-8980-C5D45031A95B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36E-4827-8980-C5D45031A95B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36E-4827-8980-C5D45031A95B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36E-4827-8980-C5D45031A95B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36E-4827-8980-C5D45031A95B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36E-4827-8980-C5D45031A95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36E-4827-8980-C5D45031A95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36E-4827-8980-C5D45031A95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36E-4827-8980-C5D45031A95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36E-4827-8980-C5D45031A95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36E-4827-8980-C5D45031A95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36E-4827-8980-C5D45031A95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36E-4827-8980-C5D45031A95B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6E-4827-8980-C5D45031A95B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6E-4827-8980-C5D45031A95B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6E-4827-8980-C5D45031A95B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36E-4827-8980-C5D45031A95B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6E-4827-8980-C5D45031A9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6E-4827-8980-C5D45031A95B}"/>
            </c:ext>
          </c:extLst>
        </c:ser>
        <c:ser>
          <c:idx val="1"/>
          <c:order val="1"/>
          <c:tx>
            <c:strRef>
              <c:f>'5'!$C$12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36E-4827-8980-C5D45031A95B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36E-4827-8980-C5D45031A95B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36E-4827-8980-C5D45031A95B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36E-4827-8980-C5D45031A95B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36E-4827-8980-C5D45031A95B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36E-4827-8980-C5D45031A95B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36E-4827-8980-C5D45031A95B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36E-4827-8980-C5D45031A95B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36E-4827-8980-C5D45031A95B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36E-4827-8980-C5D45031A95B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36E-4827-8980-C5D45031A95B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36E-4827-8980-C5D45031A95B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36E-4827-8980-C5D45031A95B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36E-4827-8980-C5D45031A95B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36E-4827-8980-C5D45031A95B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36E-4827-8980-C5D45031A95B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36E-4827-8980-C5D45031A95B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36E-4827-8980-C5D45031A95B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36E-4827-8980-C5D45031A95B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36E-4827-8980-C5D45031A9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36E-4827-8980-C5D45031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6-4871-9002-6E3AF80DC5A4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'6'!$C$5:$C$7</c:f>
              <c:numCache>
                <c:formatCode>_-* #,##0.00\ [$zł-415]_-;\-* #,##0.00\ [$zł-415]_-;_-* "-"??\ [$zł-415]_-;_-@_-</c:formatCode>
                <c:ptCount val="3"/>
                <c:pt idx="0">
                  <c:v>4900</c:v>
                </c:pt>
                <c:pt idx="1">
                  <c:v>3730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B6-4871-9002-6E3AF80DC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9E-4672-A7E4-2C6DA69A4C4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9E-4672-A7E4-2C6DA69A4C4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39E-4672-A7E4-2C6DA69A4C4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39E-4672-A7E4-2C6DA69A4C4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39E-4672-A7E4-2C6DA69A4C4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39E-4672-A7E4-2C6DA69A4C4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39E-4672-A7E4-2C6DA69A4C4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39E-4672-A7E4-2C6DA69A4C4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39E-4672-A7E4-2C6DA69A4C4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39E-4672-A7E4-2C6DA69A4C4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39E-4672-A7E4-2C6DA69A4C4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39E-4672-A7E4-2C6DA69A4C4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39E-4672-A7E4-2C6DA69A4C4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39E-4672-A7E4-2C6DA69A4C43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9E-4672-A7E4-2C6DA69A4C43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9E-4672-A7E4-2C6DA69A4C43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9E-4672-A7E4-2C6DA69A4C43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9E-4672-A7E4-2C6DA69A4C43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39E-4672-A7E4-2C6DA69A4C43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9E-4672-A7E4-2C6DA69A4C43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39E-4672-A7E4-2C6DA69A4C43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39E-4672-A7E4-2C6DA69A4C43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39E-4672-A7E4-2C6DA69A4C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9E-4672-A7E4-2C6DA69A4C43}"/>
            </c:ext>
          </c:extLst>
        </c:ser>
        <c:ser>
          <c:idx val="1"/>
          <c:order val="1"/>
          <c:tx>
            <c:strRef>
              <c:f>'6'!$H$12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39E-4672-A7E4-2C6DA69A4C4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39E-4672-A7E4-2C6DA69A4C4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39E-4672-A7E4-2C6DA69A4C4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39E-4672-A7E4-2C6DA69A4C4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39E-4672-A7E4-2C6DA69A4C4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39E-4672-A7E4-2C6DA69A4C4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39E-4672-A7E4-2C6DA69A4C4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39E-4672-A7E4-2C6DA69A4C4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39E-4672-A7E4-2C6DA69A4C4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39E-4672-A7E4-2C6DA69A4C4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39E-4672-A7E4-2C6DA69A4C4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39E-4672-A7E4-2C6DA69A4C4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39E-4672-A7E4-2C6DA69A4C4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39E-4672-A7E4-2C6DA69A4C43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39E-4672-A7E4-2C6DA69A4C43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39E-4672-A7E4-2C6DA69A4C43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39E-4672-A7E4-2C6DA69A4C43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39E-4672-A7E4-2C6DA69A4C43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39E-4672-A7E4-2C6DA69A4C43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39E-4672-A7E4-2C6DA69A4C43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839E-4672-A7E4-2C6DA69A4C43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839E-4672-A7E4-2C6DA69A4C43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839E-4672-A7E4-2C6DA69A4C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300</c:v>
                </c:pt>
                <c:pt idx="2">
                  <c:v>200</c:v>
                </c:pt>
                <c:pt idx="3">
                  <c:v>1000</c:v>
                </c:pt>
                <c:pt idx="4">
                  <c:v>100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39E-4672-A7E4-2C6DA69A4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A0-4477-B2F1-387C7753F3A1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A0-4477-B2F1-387C7753F3A1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A0-4477-B2F1-387C7753F3A1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A0-4477-B2F1-387C7753F3A1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9A0-4477-B2F1-387C7753F3A1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9A0-4477-B2F1-387C7753F3A1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9A0-4477-B2F1-387C7753F3A1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9A0-4477-B2F1-387C7753F3A1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9A0-4477-B2F1-387C7753F3A1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9A0-4477-B2F1-387C7753F3A1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9A0-4477-B2F1-387C7753F3A1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9A0-4477-B2F1-387C7753F3A1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9A0-4477-B2F1-387C7753F3A1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9A0-4477-B2F1-387C7753F3A1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A0-4477-B2F1-387C7753F3A1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A0-4477-B2F1-387C7753F3A1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A0-4477-B2F1-387C7753F3A1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A0-4477-B2F1-387C7753F3A1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A0-4477-B2F1-387C7753F3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9A0-4477-B2F1-387C7753F3A1}"/>
            </c:ext>
          </c:extLst>
        </c:ser>
        <c:ser>
          <c:idx val="1"/>
          <c:order val="1"/>
          <c:tx>
            <c:strRef>
              <c:f>'6'!$C$12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9A0-4477-B2F1-387C7753F3A1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9A0-4477-B2F1-387C7753F3A1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9A0-4477-B2F1-387C7753F3A1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9A0-4477-B2F1-387C7753F3A1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9A0-4477-B2F1-387C7753F3A1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9A0-4477-B2F1-387C7753F3A1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9A0-4477-B2F1-387C7753F3A1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9A0-4477-B2F1-387C7753F3A1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9A0-4477-B2F1-387C7753F3A1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9A0-4477-B2F1-387C7753F3A1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9A0-4477-B2F1-387C7753F3A1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9A0-4477-B2F1-387C7753F3A1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9A0-4477-B2F1-387C7753F3A1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9A0-4477-B2F1-387C7753F3A1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9A0-4477-B2F1-387C7753F3A1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9A0-4477-B2F1-387C7753F3A1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9A0-4477-B2F1-387C7753F3A1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9A0-4477-B2F1-387C7753F3A1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9A0-4477-B2F1-387C7753F3A1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9A0-4477-B2F1-387C7753F3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'6'!$C$13:$C$26</c:f>
              <c:numCache>
                <c:formatCode>_-* #,##0.00\ [$zł-415]_-;\-* #,##0.00\ [$zł-415]_-;_-* "-"??\ [$zł-415]_-;_-@_-</c:formatCode>
                <c:ptCount val="14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9A0-4477-B2F1-387C7753F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9-4AE6-BB4D-CAC23DBC7203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'7'!$C$5:$C$7</c:f>
              <c:numCache>
                <c:formatCode>_-* #,##0.00\ [$zł-415]_-;\-* #,##0.00\ [$zł-415]_-;_-* "-"??\ [$zł-415]_-;_-@_-</c:formatCode>
                <c:ptCount val="3"/>
                <c:pt idx="0">
                  <c:v>5920</c:v>
                </c:pt>
                <c:pt idx="1">
                  <c:v>3005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09-4AE6-BB4D-CAC23DBC7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1E-495A-BF61-68C5793774C8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1E-495A-BF61-68C5793774C8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1E-495A-BF61-68C5793774C8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1E-495A-BF61-68C5793774C8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1E-495A-BF61-68C5793774C8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1E-495A-BF61-68C5793774C8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D1E-495A-BF61-68C5793774C8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D1E-495A-BF61-68C5793774C8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D1E-495A-BF61-68C5793774C8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D1E-495A-BF61-68C5793774C8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D1E-495A-BF61-68C5793774C8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D1E-495A-BF61-68C5793774C8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D1E-495A-BF61-68C5793774C8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D1E-495A-BF61-68C5793774C8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1E-495A-BF61-68C5793774C8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1E-495A-BF61-68C5793774C8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1E-495A-BF61-68C5793774C8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1E-495A-BF61-68C5793774C8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D1E-495A-BF61-68C5793774C8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1E-495A-BF61-68C5793774C8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D1E-495A-BF61-68C5793774C8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D1E-495A-BF61-68C5793774C8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D1E-495A-BF61-68C5793774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D1E-495A-BF61-68C5793774C8}"/>
            </c:ext>
          </c:extLst>
        </c:ser>
        <c:ser>
          <c:idx val="1"/>
          <c:order val="1"/>
          <c:tx>
            <c:strRef>
              <c:f>'7'!$H$12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D1E-495A-BF61-68C5793774C8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D1E-495A-BF61-68C5793774C8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BD1E-495A-BF61-68C5793774C8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D1E-495A-BF61-68C5793774C8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D1E-495A-BF61-68C5793774C8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BD1E-495A-BF61-68C5793774C8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BD1E-495A-BF61-68C5793774C8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BD1E-495A-BF61-68C5793774C8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BD1E-495A-BF61-68C5793774C8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BD1E-495A-BF61-68C5793774C8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BD1E-495A-BF61-68C5793774C8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BD1E-495A-BF61-68C5793774C8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BD1E-495A-BF61-68C5793774C8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BD1E-495A-BF61-68C5793774C8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D1E-495A-BF61-68C5793774C8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D1E-495A-BF61-68C5793774C8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D1E-495A-BF61-68C5793774C8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D1E-495A-BF61-68C5793774C8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D1E-495A-BF61-68C5793774C8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D1E-495A-BF61-68C5793774C8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BD1E-495A-BF61-68C5793774C8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D1E-495A-BF61-68C5793774C8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BD1E-495A-BF61-68C5793774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-250</c:v>
                </c:pt>
                <c:pt idx="2">
                  <c:v>700</c:v>
                </c:pt>
                <c:pt idx="3">
                  <c:v>165</c:v>
                </c:pt>
                <c:pt idx="4">
                  <c:v>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D1E-495A-BF61-68C579377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6C-4F37-B69A-B5F428F2AA68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6C-4F37-B69A-B5F428F2AA68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6C-4F37-B69A-B5F428F2AA68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6C-4F37-B69A-B5F428F2AA68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16C-4F37-B69A-B5F428F2AA68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16C-4F37-B69A-B5F428F2AA68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16C-4F37-B69A-B5F428F2AA68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16C-4F37-B69A-B5F428F2AA68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16C-4F37-B69A-B5F428F2AA68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16C-4F37-B69A-B5F428F2AA68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16C-4F37-B69A-B5F428F2AA68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16C-4F37-B69A-B5F428F2AA68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16C-4F37-B69A-B5F428F2AA68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16C-4F37-B69A-B5F428F2AA68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6C-4F37-B69A-B5F428F2AA68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6C-4F37-B69A-B5F428F2AA68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6C-4F37-B69A-B5F428F2AA68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16C-4F37-B69A-B5F428F2AA68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6C-4F37-B69A-B5F428F2AA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16C-4F37-B69A-B5F428F2AA68}"/>
            </c:ext>
          </c:extLst>
        </c:ser>
        <c:ser>
          <c:idx val="1"/>
          <c:order val="1"/>
          <c:tx>
            <c:strRef>
              <c:f>'7'!$C$12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F16C-4F37-B69A-B5F428F2AA68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F16C-4F37-B69A-B5F428F2AA68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F16C-4F37-B69A-B5F428F2AA68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F16C-4F37-B69A-B5F428F2AA68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F16C-4F37-B69A-B5F428F2AA68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F16C-4F37-B69A-B5F428F2AA68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F16C-4F37-B69A-B5F428F2AA68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F16C-4F37-B69A-B5F428F2AA68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F16C-4F37-B69A-B5F428F2AA68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F16C-4F37-B69A-B5F428F2AA68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F16C-4F37-B69A-B5F428F2AA68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F16C-4F37-B69A-B5F428F2AA68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F16C-4F37-B69A-B5F428F2AA68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F16C-4F37-B69A-B5F428F2AA68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16C-4F37-B69A-B5F428F2AA68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F16C-4F37-B69A-B5F428F2AA68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F16C-4F37-B69A-B5F428F2AA68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F16C-4F37-B69A-B5F428F2AA68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F16C-4F37-B69A-B5F428F2AA68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F16C-4F37-B69A-B5F428F2AA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120</c:v>
                </c:pt>
                <c:pt idx="2">
                  <c:v>800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16C-4F37-B69A-B5F428F2A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D0-4BF9-BCA9-CBAA5C1E9A2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'8'!$C$5:$C$7</c:f>
              <c:numCache>
                <c:formatCode>_-* #,##0.00\ [$zł-415]_-;\-* #,##0.00\ [$zł-415]_-;_-* "-"??\ [$zł-415]_-;_-@_-</c:formatCode>
                <c:ptCount val="3"/>
                <c:pt idx="0">
                  <c:v>5400</c:v>
                </c:pt>
                <c:pt idx="1">
                  <c:v>3989.5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D0-4BF9-BCA9-CBAA5C1E9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FF-40BC-8970-8E86B87F583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FF-40BC-8970-8E86B87F583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FF-40BC-8970-8E86B87F583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FF-40BC-8970-8E86B87F583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AFF-40BC-8970-8E86B87F583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AFF-40BC-8970-8E86B87F583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AFF-40BC-8970-8E86B87F583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AFF-40BC-8970-8E86B87F583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AFF-40BC-8970-8E86B87F583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AFF-40BC-8970-8E86B87F583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AFF-40BC-8970-8E86B87F583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AFF-40BC-8970-8E86B87F583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AFF-40BC-8970-8E86B87F583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AFF-40BC-8970-8E86B87F583D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FF-40BC-8970-8E86B87F583D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F-40BC-8970-8E86B87F583D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FF-40BC-8970-8E86B87F583D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F-40BC-8970-8E86B87F583D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AFF-40BC-8970-8E86B87F583D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F-40BC-8970-8E86B87F583D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AFF-40BC-8970-8E86B87F583D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AFF-40BC-8970-8E86B87F583D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AFF-40BC-8970-8E86B87F58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AFF-40BC-8970-8E86B87F583D}"/>
            </c:ext>
          </c:extLst>
        </c:ser>
        <c:ser>
          <c:idx val="1"/>
          <c:order val="1"/>
          <c:tx>
            <c:strRef>
              <c:f>'8'!$H$12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AFF-40BC-8970-8E86B87F583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AFF-40BC-8970-8E86B87F583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AFF-40BC-8970-8E86B87F583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AFF-40BC-8970-8E86B87F583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AFF-40BC-8970-8E86B87F583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AFF-40BC-8970-8E86B87F583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AFF-40BC-8970-8E86B87F583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AFF-40BC-8970-8E86B87F583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AFF-40BC-8970-8E86B87F583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AFF-40BC-8970-8E86B87F583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AFF-40BC-8970-8E86B87F583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AFF-40BC-8970-8E86B87F583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AFF-40BC-8970-8E86B87F583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AFF-40BC-8970-8E86B87F583D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AFF-40BC-8970-8E86B87F583D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AFF-40BC-8970-8E86B87F583D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AFF-40BC-8970-8E86B87F583D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AFF-40BC-8970-8E86B87F583D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AFF-40BC-8970-8E86B87F583D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AFF-40BC-8970-8E86B87F583D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AFF-40BC-8970-8E86B87F583D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AFF-40BC-8970-8E86B87F583D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AFF-40BC-8970-8E86B87F58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300</c:v>
                </c:pt>
                <c:pt idx="2">
                  <c:v>250</c:v>
                </c:pt>
                <c:pt idx="3">
                  <c:v>749.5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AFF-40BC-8970-8E86B87F5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94-4DA5-9F49-843ED246224C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94-4DA5-9F49-843ED246224C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94-4DA5-9F49-843ED246224C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94-4DA5-9F49-843ED246224C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94-4DA5-9F49-843ED246224C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94-4DA5-9F49-843ED246224C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C94-4DA5-9F49-843ED246224C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C94-4DA5-9F49-843ED246224C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C94-4DA5-9F49-843ED246224C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C94-4DA5-9F49-843ED246224C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C94-4DA5-9F49-843ED246224C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C94-4DA5-9F49-843ED246224C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C94-4DA5-9F49-843ED246224C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C94-4DA5-9F49-843ED246224C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4-4DA5-9F49-843ED246224C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C94-4DA5-9F49-843ED246224C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4-4DA5-9F49-843ED246224C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C94-4DA5-9F49-843ED246224C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4-4DA5-9F49-843ED24622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94-4DA5-9F49-843ED246224C}"/>
            </c:ext>
          </c:extLst>
        </c:ser>
        <c:ser>
          <c:idx val="1"/>
          <c:order val="1"/>
          <c:tx>
            <c:strRef>
              <c:f>'8'!$C$12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C94-4DA5-9F49-843ED246224C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C94-4DA5-9F49-843ED246224C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BC94-4DA5-9F49-843ED246224C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C94-4DA5-9F49-843ED246224C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C94-4DA5-9F49-843ED246224C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BC94-4DA5-9F49-843ED246224C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BC94-4DA5-9F49-843ED246224C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BC94-4DA5-9F49-843ED246224C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BC94-4DA5-9F49-843ED246224C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BC94-4DA5-9F49-843ED246224C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BC94-4DA5-9F49-843ED246224C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BC94-4DA5-9F49-843ED246224C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BC94-4DA5-9F49-843ED246224C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BC94-4DA5-9F49-843ED246224C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C94-4DA5-9F49-843ED246224C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C94-4DA5-9F49-843ED246224C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C94-4DA5-9F49-843ED246224C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C94-4DA5-9F49-843ED246224C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C94-4DA5-9F49-843ED246224C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C94-4DA5-9F49-843ED24622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C94-4DA5-9F49-843ED24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6A2-96BE-7970AC6B9467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'9'!$C$5:$C$7</c:f>
              <c:numCache>
                <c:formatCode>_-* #,##0.00\ [$zł-415]_-;\-* #,##0.00\ [$zł-415]_-;_-* "-"??\ [$zł-415]_-;_-@_-</c:formatCode>
                <c:ptCount val="3"/>
                <c:pt idx="0">
                  <c:v>4500</c:v>
                </c:pt>
                <c:pt idx="1">
                  <c:v>2748.5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0-46A2-96BE-7970AC6B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06-444C-A374-CA69B36987C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06-444C-A374-CA69B36987C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06-444C-A374-CA69B36987C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F06-444C-A374-CA69B36987C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F06-444C-A374-CA69B36987C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F06-444C-A374-CA69B36987C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F06-444C-A374-CA69B36987C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F06-444C-A374-CA69B36987C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F06-444C-A374-CA69B36987C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F06-444C-A374-CA69B36987C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06-444C-A374-CA69B36987C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F06-444C-A374-CA69B36987C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F06-444C-A374-CA69B36987C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F06-444C-A374-CA69B36987CD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06-444C-A374-CA69B36987CD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06-444C-A374-CA69B36987CD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06-444C-A374-CA69B36987CD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06-444C-A374-CA69B36987CD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F06-444C-A374-CA69B36987CD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06-444C-A374-CA69B36987CD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F06-444C-A374-CA69B36987CD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F06-444C-A374-CA69B36987CD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F06-444C-A374-CA69B36987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F06-444C-A374-CA69B36987CD}"/>
            </c:ext>
          </c:extLst>
        </c:ser>
        <c:ser>
          <c:idx val="1"/>
          <c:order val="1"/>
          <c:tx>
            <c:strRef>
              <c:f>'9'!$H$12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FF06-444C-A374-CA69B36987C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FF06-444C-A374-CA69B36987C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FF06-444C-A374-CA69B36987C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FF06-444C-A374-CA69B36987C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FF06-444C-A374-CA69B36987C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FF06-444C-A374-CA69B36987C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FF06-444C-A374-CA69B36987C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FF06-444C-A374-CA69B36987C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FF06-444C-A374-CA69B36987C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FF06-444C-A374-CA69B36987C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FF06-444C-A374-CA69B36987C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FF06-444C-A374-CA69B36987C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FF06-444C-A374-CA69B36987C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FF06-444C-A374-CA69B36987CD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F06-444C-A374-CA69B36987CD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FF06-444C-A374-CA69B36987CD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FF06-444C-A374-CA69B36987CD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FF06-444C-A374-CA69B36987CD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FF06-444C-A374-CA69B36987CD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FF06-444C-A374-CA69B36987CD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FF06-444C-A374-CA69B36987CD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FF06-444C-A374-CA69B36987CD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FF06-444C-A374-CA69B36987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20</c:v>
                </c:pt>
                <c:pt idx="3">
                  <c:v>538.5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F06-444C-A374-CA69B3698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2B-4131-965D-E45F2AD48C41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2B-4131-965D-E45F2AD48C41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2B-4131-965D-E45F2AD48C41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2B-4131-965D-E45F2AD48C41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2B-4131-965D-E45F2AD48C41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2B-4131-965D-E45F2AD48C41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52B-4131-965D-E45F2AD48C41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52B-4131-965D-E45F2AD48C41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52B-4131-965D-E45F2AD48C41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52B-4131-965D-E45F2AD48C41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52B-4131-965D-E45F2AD48C41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52B-4131-965D-E45F2AD48C41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52B-4131-965D-E45F2AD48C41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52B-4131-965D-E45F2AD48C41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2B-4131-965D-E45F2AD48C41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52B-4131-965D-E45F2AD48C41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2B-4131-965D-E45F2AD48C41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52B-4131-965D-E45F2AD48C41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2B-4131-965D-E45F2AD48C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2B-4131-965D-E45F2AD48C41}"/>
            </c:ext>
          </c:extLst>
        </c:ser>
        <c:ser>
          <c:idx val="1"/>
          <c:order val="1"/>
          <c:tx>
            <c:strRef>
              <c:f>'9'!$C$12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52B-4131-965D-E45F2AD48C41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52B-4131-965D-E45F2AD48C41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52B-4131-965D-E45F2AD48C41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52B-4131-965D-E45F2AD48C41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52B-4131-965D-E45F2AD48C41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52B-4131-965D-E45F2AD48C41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52B-4131-965D-E45F2AD48C41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52B-4131-965D-E45F2AD48C41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52B-4131-965D-E45F2AD48C41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52B-4131-965D-E45F2AD48C41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52B-4131-965D-E45F2AD48C41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52B-4131-965D-E45F2AD48C41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52B-4131-965D-E45F2AD48C41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52B-4131-965D-E45F2AD48C41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52B-4131-965D-E45F2AD48C41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52B-4131-965D-E45F2AD48C41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52B-4131-965D-E45F2AD48C41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52B-4131-965D-E45F2AD48C41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52B-4131-965D-E45F2AD48C41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52B-4131-965D-E45F2AD48C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52B-4131-965D-E45F2AD48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8-41D3-B4B9-F690C1122C72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'10'!$C$5:$C$7</c:f>
              <c:numCache>
                <c:formatCode>_-* #,##0.00\ [$zł-415]_-;\-* #,##0.00\ [$zł-415]_-;_-* "-"??\ [$zł-415]_-;_-@_-</c:formatCode>
                <c:ptCount val="3"/>
                <c:pt idx="0">
                  <c:v>4500</c:v>
                </c:pt>
                <c:pt idx="1">
                  <c:v>2830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A8-41D3-B4B9-F690C1122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5B-4BB6-8B0A-4778A7FA4A60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5B-4BB6-8B0A-4778A7FA4A60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5B-4BB6-8B0A-4778A7FA4A60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5B-4BB6-8B0A-4778A7FA4A60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5B-4BB6-8B0A-4778A7FA4A60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5B-4BB6-8B0A-4778A7FA4A60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5B-4BB6-8B0A-4778A7FA4A60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5B-4BB6-8B0A-4778A7FA4A60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95B-4BB6-8B0A-4778A7FA4A60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95B-4BB6-8B0A-4778A7FA4A6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95B-4BB6-8B0A-4778A7FA4A6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95B-4BB6-8B0A-4778A7FA4A6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95B-4BB6-8B0A-4778A7FA4A6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95B-4BB6-8B0A-4778A7FA4A60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5B-4BB6-8B0A-4778A7FA4A60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5B-4BB6-8B0A-4778A7FA4A60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5B-4BB6-8B0A-4778A7FA4A60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5B-4BB6-8B0A-4778A7FA4A60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5B-4BB6-8B0A-4778A7FA4A60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5B-4BB6-8B0A-4778A7FA4A60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95B-4BB6-8B0A-4778A7FA4A60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95B-4BB6-8B0A-4778A7FA4A60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95B-4BB6-8B0A-4778A7FA4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95B-4BB6-8B0A-4778A7FA4A60}"/>
            </c:ext>
          </c:extLst>
        </c:ser>
        <c:ser>
          <c:idx val="1"/>
          <c:order val="1"/>
          <c:tx>
            <c:strRef>
              <c:f>'10'!$H$12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95B-4BB6-8B0A-4778A7FA4A60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95B-4BB6-8B0A-4778A7FA4A60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95B-4BB6-8B0A-4778A7FA4A60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95B-4BB6-8B0A-4778A7FA4A60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D95B-4BB6-8B0A-4778A7FA4A60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D95B-4BB6-8B0A-4778A7FA4A60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D95B-4BB6-8B0A-4778A7FA4A60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D95B-4BB6-8B0A-4778A7FA4A60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D95B-4BB6-8B0A-4778A7FA4A60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D95B-4BB6-8B0A-4778A7FA4A6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D95B-4BB6-8B0A-4778A7FA4A6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D95B-4BB6-8B0A-4778A7FA4A6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D95B-4BB6-8B0A-4778A7FA4A6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D95B-4BB6-8B0A-4778A7FA4A60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95B-4BB6-8B0A-4778A7FA4A60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95B-4BB6-8B0A-4778A7FA4A60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95B-4BB6-8B0A-4778A7FA4A60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95B-4BB6-8B0A-4778A7FA4A60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95B-4BB6-8B0A-4778A7FA4A60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95B-4BB6-8B0A-4778A7FA4A60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95B-4BB6-8B0A-4778A7FA4A60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95B-4BB6-8B0A-4778A7FA4A60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D95B-4BB6-8B0A-4778A7FA4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40</c:v>
                </c:pt>
                <c:pt idx="3">
                  <c:v>600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D95B-4BB6-8B0A-4778A7FA4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C2-4B0E-9A78-B96CD7AAF2E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C2-4B0E-9A78-B96CD7AAF2E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C2-4B0E-9A78-B96CD7AAF2E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EC2-4B0E-9A78-B96CD7AAF2E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EC2-4B0E-9A78-B96CD7AAF2E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EC2-4B0E-9A78-B96CD7AAF2E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EC2-4B0E-9A78-B96CD7AAF2EA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EC2-4B0E-9A78-B96CD7AAF2EA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EC2-4B0E-9A78-B96CD7AAF2EA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EC2-4B0E-9A78-B96CD7AAF2EA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EC2-4B0E-9A78-B96CD7AAF2EA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EC2-4B0E-9A78-B96CD7AAF2EA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EC2-4B0E-9A78-B96CD7AAF2EA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EC2-4B0E-9A78-B96CD7AAF2EA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2-4B0E-9A78-B96CD7AAF2EA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C2-4B0E-9A78-B96CD7AAF2EA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2-4B0E-9A78-B96CD7AAF2EA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C2-4B0E-9A78-B96CD7AAF2EA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2-4B0E-9A78-B96CD7AAF2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C2-4B0E-9A78-B96CD7AAF2EA}"/>
            </c:ext>
          </c:extLst>
        </c:ser>
        <c:ser>
          <c:idx val="1"/>
          <c:order val="1"/>
          <c:tx>
            <c:strRef>
              <c:f>'10'!$C$12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EC2-4B0E-9A78-B96CD7AAF2E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EC2-4B0E-9A78-B96CD7AAF2E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EC2-4B0E-9A78-B96CD7AAF2E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EC2-4B0E-9A78-B96CD7AAF2E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EC2-4B0E-9A78-B96CD7AAF2E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EC2-4B0E-9A78-B96CD7AAF2E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EC2-4B0E-9A78-B96CD7AAF2EA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EC2-4B0E-9A78-B96CD7AAF2EA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EC2-4B0E-9A78-B96CD7AAF2EA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EC2-4B0E-9A78-B96CD7AAF2EA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EC2-4B0E-9A78-B96CD7AAF2EA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EC2-4B0E-9A78-B96CD7AAF2EA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EC2-4B0E-9A78-B96CD7AAF2EA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EC2-4B0E-9A78-B96CD7AAF2EA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EC2-4B0E-9A78-B96CD7AAF2EA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EC2-4B0E-9A78-B96CD7AAF2EA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EC2-4B0E-9A78-B96CD7AAF2EA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EC2-4B0E-9A78-B96CD7AAF2EA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EC2-4B0E-9A78-B96CD7AAF2EA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EC2-4B0E-9A78-B96CD7AAF2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EC2-4B0E-9A78-B96CD7AAF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F-4F01-884E-4764E3188FFE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'11'!$C$5:$C$7</c:f>
              <c:numCache>
                <c:formatCode>_-* #,##0.00\ [$zł-415]_-;\-* #,##0.00\ [$zł-415]_-;_-* "-"??\ [$zł-415]_-;_-@_-</c:formatCode>
                <c:ptCount val="3"/>
                <c:pt idx="0">
                  <c:v>4900</c:v>
                </c:pt>
                <c:pt idx="1">
                  <c:v>3500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F-4F01-884E-4764E3188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61-4D05-A1A9-6DCD86CFF1CC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61-4D05-A1A9-6DCD86CFF1CC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61-4D05-A1A9-6DCD86CFF1CC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61-4D05-A1A9-6DCD86CFF1CC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61-4D05-A1A9-6DCD86CFF1CC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61-4D05-A1A9-6DCD86CFF1CC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D61-4D05-A1A9-6DCD86CFF1CC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D61-4D05-A1A9-6DCD86CFF1CC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D61-4D05-A1A9-6DCD86CFF1CC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D61-4D05-A1A9-6DCD86CFF1CC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D61-4D05-A1A9-6DCD86CFF1CC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D61-4D05-A1A9-6DCD86CFF1CC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D61-4D05-A1A9-6DCD86CFF1CC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D61-4D05-A1A9-6DCD86CFF1CC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61-4D05-A1A9-6DCD86CFF1CC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61-4D05-A1A9-6DCD86CFF1CC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61-4D05-A1A9-6DCD86CFF1CC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61-4D05-A1A9-6DCD86CFF1CC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61-4D05-A1A9-6DCD86CFF1CC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61-4D05-A1A9-6DCD86CFF1CC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D61-4D05-A1A9-6DCD86CFF1CC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D61-4D05-A1A9-6DCD86CFF1CC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D61-4D05-A1A9-6DCD86CFF1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D61-4D05-A1A9-6DCD86CFF1CC}"/>
            </c:ext>
          </c:extLst>
        </c:ser>
        <c:ser>
          <c:idx val="1"/>
          <c:order val="1"/>
          <c:tx>
            <c:strRef>
              <c:f>'11'!$H$12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2D61-4D05-A1A9-6DCD86CFF1CC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2D61-4D05-A1A9-6DCD86CFF1CC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2D61-4D05-A1A9-6DCD86CFF1CC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D61-4D05-A1A9-6DCD86CFF1CC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D61-4D05-A1A9-6DCD86CFF1CC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D61-4D05-A1A9-6DCD86CFF1CC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D61-4D05-A1A9-6DCD86CFF1CC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D61-4D05-A1A9-6DCD86CFF1CC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D61-4D05-A1A9-6DCD86CFF1CC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D61-4D05-A1A9-6DCD86CFF1CC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D61-4D05-A1A9-6DCD86CFF1CC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D61-4D05-A1A9-6DCD86CFF1CC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D61-4D05-A1A9-6DCD86CFF1CC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D61-4D05-A1A9-6DCD86CFF1CC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D61-4D05-A1A9-6DCD86CFF1CC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D61-4D05-A1A9-6DCD86CFF1CC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D61-4D05-A1A9-6DCD86CFF1CC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D61-4D05-A1A9-6DCD86CFF1CC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D61-4D05-A1A9-6DCD86CFF1CC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D61-4D05-A1A9-6DCD86CFF1CC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D61-4D05-A1A9-6DCD86CFF1CC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D61-4D05-A1A9-6DCD86CFF1CC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D61-4D05-A1A9-6DCD86CFF1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158</c:v>
                </c:pt>
                <c:pt idx="2">
                  <c:v>214</c:v>
                </c:pt>
                <c:pt idx="3">
                  <c:v>506</c:v>
                </c:pt>
                <c:pt idx="4">
                  <c:v>133</c:v>
                </c:pt>
                <c:pt idx="5">
                  <c:v>47</c:v>
                </c:pt>
                <c:pt idx="6">
                  <c:v>234</c:v>
                </c:pt>
                <c:pt idx="7">
                  <c:v>0</c:v>
                </c:pt>
                <c:pt idx="8">
                  <c:v>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2D61-4D05-A1A9-6DCD86CFF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76-4C15-876E-8B80F2C5310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76-4C15-876E-8B80F2C5310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76-4C15-876E-8B80F2C5310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76-4C15-876E-8B80F2C5310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76-4C15-876E-8B80F2C5310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276-4C15-876E-8B80F2C5310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276-4C15-876E-8B80F2C5310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276-4C15-876E-8B80F2C5310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276-4C15-876E-8B80F2C5310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276-4C15-876E-8B80F2C5310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276-4C15-876E-8B80F2C5310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276-4C15-876E-8B80F2C5310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276-4C15-876E-8B80F2C5310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276-4C15-876E-8B80F2C5310F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76-4C15-876E-8B80F2C5310F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76-4C15-876E-8B80F2C5310F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76-4C15-876E-8B80F2C5310F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76-4C15-876E-8B80F2C5310F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76-4C15-876E-8B80F2C531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276-4C15-876E-8B80F2C5310F}"/>
            </c:ext>
          </c:extLst>
        </c:ser>
        <c:ser>
          <c:idx val="1"/>
          <c:order val="1"/>
          <c:tx>
            <c:strRef>
              <c:f>'11'!$C$12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276-4C15-876E-8B80F2C5310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276-4C15-876E-8B80F2C5310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276-4C15-876E-8B80F2C5310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276-4C15-876E-8B80F2C5310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276-4C15-876E-8B80F2C5310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276-4C15-876E-8B80F2C5310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276-4C15-876E-8B80F2C5310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276-4C15-876E-8B80F2C5310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276-4C15-876E-8B80F2C5310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276-4C15-876E-8B80F2C5310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276-4C15-876E-8B80F2C5310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276-4C15-876E-8B80F2C5310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276-4C15-876E-8B80F2C5310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276-4C15-876E-8B80F2C5310F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276-4C15-876E-8B80F2C5310F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276-4C15-876E-8B80F2C5310F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276-4C15-876E-8B80F2C5310F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276-4C15-876E-8B80F2C5310F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276-4C15-876E-8B80F2C5310F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276-4C15-876E-8B80F2C531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276-4C15-876E-8B80F2C53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D-49DC-8D01-E9311C0689F8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'12'!$C$5:$C$7</c:f>
              <c:numCache>
                <c:formatCode>_-* #,##0.00\ [$zł-415]_-;\-* #,##0.00\ [$zł-415]_-;_-* "-"??\ [$zł-415]_-;_-@_-</c:formatCode>
                <c:ptCount val="3"/>
                <c:pt idx="0">
                  <c:v>6500</c:v>
                </c:pt>
                <c:pt idx="1">
                  <c:v>4080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3D-49DC-8D01-E9311C068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780-4557-9DAD-D9293A85C3F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780-4557-9DAD-D9293A85C3F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780-4557-9DAD-D9293A85C3F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780-4557-9DAD-D9293A85C3F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780-4557-9DAD-D9293A85C3F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780-4557-9DAD-D9293A85C3F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780-4557-9DAD-D9293A85C3F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780-4557-9DAD-D9293A85C3F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780-4557-9DAD-D9293A85C3F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780-4557-9DAD-D9293A85C3F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780-4557-9DAD-D9293A85C3F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780-4557-9DAD-D9293A85C3F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780-4557-9DAD-D9293A85C3F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780-4557-9DAD-D9293A85C3F5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80-4557-9DAD-D9293A85C3F5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80-4557-9DAD-D9293A85C3F5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80-4557-9DAD-D9293A85C3F5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80-4557-9DAD-D9293A85C3F5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780-4557-9DAD-D9293A85C3F5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80-4557-9DAD-D9293A85C3F5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80-4557-9DAD-D9293A85C3F5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780-4557-9DAD-D9293A85C3F5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780-4557-9DAD-D9293A85C3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780-4557-9DAD-D9293A85C3F5}"/>
            </c:ext>
          </c:extLst>
        </c:ser>
        <c:ser>
          <c:idx val="1"/>
          <c:order val="1"/>
          <c:tx>
            <c:strRef>
              <c:f>'12'!$H$12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7780-4557-9DAD-D9293A85C3F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7780-4557-9DAD-D9293A85C3F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7780-4557-9DAD-D9293A85C3F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7780-4557-9DAD-D9293A85C3F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7780-4557-9DAD-D9293A85C3F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7780-4557-9DAD-D9293A85C3F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7780-4557-9DAD-D9293A85C3F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7780-4557-9DAD-D9293A85C3F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7780-4557-9DAD-D9293A85C3F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7780-4557-9DAD-D9293A85C3F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7780-4557-9DAD-D9293A85C3F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7780-4557-9DAD-D9293A85C3F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7780-4557-9DAD-D9293A85C3F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7780-4557-9DAD-D9293A85C3F5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780-4557-9DAD-D9293A85C3F5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780-4557-9DAD-D9293A85C3F5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780-4557-9DAD-D9293A85C3F5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780-4557-9DAD-D9293A85C3F5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780-4557-9DAD-D9293A85C3F5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780-4557-9DAD-D9293A85C3F5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780-4557-9DAD-D9293A85C3F5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780-4557-9DAD-D9293A85C3F5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780-4557-9DAD-D9293A85C3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120</c:v>
                </c:pt>
                <c:pt idx="2">
                  <c:v>450</c:v>
                </c:pt>
                <c:pt idx="3">
                  <c:v>700</c:v>
                </c:pt>
                <c:pt idx="4">
                  <c:v>10</c:v>
                </c:pt>
                <c:pt idx="5">
                  <c:v>0</c:v>
                </c:pt>
                <c:pt idx="6">
                  <c:v>700</c:v>
                </c:pt>
                <c:pt idx="7">
                  <c:v>100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7780-4557-9DAD-D9293A85C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C2-4A5F-9800-CEC2F84DF3A5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C2-4A5F-9800-CEC2F84DF3A5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C2-4A5F-9800-CEC2F84DF3A5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C2-4A5F-9800-CEC2F84DF3A5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C2-4A5F-9800-CEC2F84DF3A5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1C2-4A5F-9800-CEC2F84DF3A5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1C2-4A5F-9800-CEC2F84DF3A5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1C2-4A5F-9800-CEC2F84DF3A5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1C2-4A5F-9800-CEC2F84DF3A5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1C2-4A5F-9800-CEC2F84DF3A5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1C2-4A5F-9800-CEC2F84DF3A5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1C2-4A5F-9800-CEC2F84DF3A5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1C2-4A5F-9800-CEC2F84DF3A5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1C2-4A5F-9800-CEC2F84DF3A5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C2-4A5F-9800-CEC2F84DF3A5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C2-4A5F-9800-CEC2F84DF3A5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C2-4A5F-9800-CEC2F84DF3A5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C2-4A5F-9800-CEC2F84DF3A5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C2-4A5F-9800-CEC2F84DF3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1C2-4A5F-9800-CEC2F84DF3A5}"/>
            </c:ext>
          </c:extLst>
        </c:ser>
        <c:ser>
          <c:idx val="1"/>
          <c:order val="1"/>
          <c:tx>
            <c:strRef>
              <c:f>'12'!$C$12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1C2-4A5F-9800-CEC2F84DF3A5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1C2-4A5F-9800-CEC2F84DF3A5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1C2-4A5F-9800-CEC2F84DF3A5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1C2-4A5F-9800-CEC2F84DF3A5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1C2-4A5F-9800-CEC2F84DF3A5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1C2-4A5F-9800-CEC2F84DF3A5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1C2-4A5F-9800-CEC2F84DF3A5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1C2-4A5F-9800-CEC2F84DF3A5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1C2-4A5F-9800-CEC2F84DF3A5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1C2-4A5F-9800-CEC2F84DF3A5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1C2-4A5F-9800-CEC2F84DF3A5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1C2-4A5F-9800-CEC2F84DF3A5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1C2-4A5F-9800-CEC2F84DF3A5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1C2-4A5F-9800-CEC2F84DF3A5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1C2-4A5F-9800-CEC2F84DF3A5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1C2-4A5F-9800-CEC2F84DF3A5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1C2-4A5F-9800-CEC2F84DF3A5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1C2-4A5F-9800-CEC2F84DF3A5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1C2-4A5F-9800-CEC2F84DF3A5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1C2-4A5F-9800-CEC2F84DF3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1C2-4A5F-9800-CEC2F84DF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CFFB7E-72CF-9596-91B4-1FEE542AA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4E7FF8-D947-5E58-4493-5E3C63930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0693CB-CFBE-3001-F2D6-4A2119F964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6892FC-C2D0-4053-90D5-17CBE1730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5E22BD-2F69-4CAE-8246-07C044798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907045-926E-4729-B023-51D5BE286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F6AC8A-463F-4568-AFC3-0A60818CB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D36177-484B-48C6-B1A6-1A1EA5E71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BFE8DA-15C7-4A20-B7C3-342229DFE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2FFEEB-E07C-471A-B57F-5472398D8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79F203-4780-4430-9F17-5D9FC4460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6D17FA-2E7A-4DD6-B9C1-0552CEE432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97A1DA-AA65-46C4-A849-B6FE3529E1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9076C3-B98E-46B0-B370-F4DEFCB771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9E1986-E3CF-46E1-8ED4-B237B92218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2F060F-E4C1-4262-B163-1F576E9AF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FCDFB1-FCFA-45A5-A881-67597E046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127ABE-0C3E-4E29-81A7-4F2679A3C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470F41-F26B-48DD-B011-388AEF855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554404-E003-45EF-B86D-D06D24CBD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583743-C9CE-471D-8A80-ADCB47257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09D4DE-5F69-457C-B854-63695809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A26C73-7191-44B7-8D63-FE77AD5A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2A675B-6610-48E2-8046-815B61CEB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34883D-C8CB-41FA-BBB8-E94E6E1C8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339EF4-E96B-4413-9E0B-797C1460A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5AF341-B25F-49CB-B414-0C2D2D429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B18719-BBDC-46E8-92F0-4547B315C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A87473-0BEF-48A3-8CF3-2B91FB717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89D331-3F5B-435C-AF6E-4E7E4D791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E05B88-8A79-4859-A780-B0B293AEF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B5D3CB-AFEB-46DA-A3A4-44FB81B19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8E5B61-81E7-41EA-882F-7A9C5627C7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BE0FF-D3E9-484C-86B3-F161020E4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B62664-34C6-4ABE-8E77-BE719F975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133B0E-7ADD-498D-B797-C98E739450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B9FDA8-428F-476D-9993-DDB17573CCE8}" name="Income_1" displayName="Income_1" ref="A12:D27" totalsRowCount="1" headerRowDxfId="802" dataDxfId="803" totalsRowDxfId="797" headerRowBorderDxfId="827" tableBorderDxfId="826" totalsRowBorderDxfId="825">
  <autoFilter ref="A12:D26" xr:uid="{93B9FDA8-428F-476D-9993-DDB17573CCE8}"/>
  <tableColumns count="4">
    <tableColumn id="1" xr3:uid="{47963C17-678E-425A-8D4A-D2FE3D6E7226}" name="Source" totalsRowLabel="Total" dataDxfId="807" totalsRowDxfId="801"/>
    <tableColumn id="2" xr3:uid="{3C63B028-A6DC-4F52-8475-8BC80F99EB1C}" name="Planned" totalsRowFunction="custom" dataDxfId="806" totalsRowDxfId="800">
      <totalsRowFormula>SUM(B13:B26)</totalsRowFormula>
    </tableColumn>
    <tableColumn id="3" xr3:uid="{585C65ED-789D-4AA6-84C8-FC72116AAD6D}" name="Actual" totalsRowFunction="custom" dataDxfId="805" totalsRowDxfId="799">
      <totalsRowFormula>SUM(Income_1[Actual])</totalsRowFormula>
    </tableColumn>
    <tableColumn id="4" xr3:uid="{894C6C1B-7E82-4BDA-B915-F19F691706F1}" name="Left" totalsRowFunction="sum" dataDxfId="804" totalsRowDxfId="798"/>
  </tableColumns>
  <tableStyleInfo name="Table Style Min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A8353D-9D5D-42AC-A175-10AA233D4CCC}" name="Expenses_1" displayName="Expenses_1" ref="F12:I27" totalsRowCount="1" headerRowDxfId="796" dataDxfId="791" totalsRowDxfId="786" headerRowBorderDxfId="824" tableBorderDxfId="823" totalsRowBorderDxfId="822">
  <autoFilter ref="F12:I26" xr:uid="{24A8353D-9D5D-42AC-A175-10AA233D4CCC}"/>
  <tableColumns count="4">
    <tableColumn id="1" xr3:uid="{F0018E1B-25DC-44BE-BA1D-A7095A040E13}" name="Category" totalsRowLabel="Total" dataDxfId="795" totalsRowDxfId="790"/>
    <tableColumn id="2" xr3:uid="{3C235523-D986-48AE-9CD3-9E36C86B2839}" name="Planned" totalsRowFunction="custom" dataDxfId="794" totalsRowDxfId="789" dataCellStyle="Currency">
      <totalsRowFormula>SUM(G13:G26)</totalsRowFormula>
    </tableColumn>
    <tableColumn id="3" xr3:uid="{AD2EEE4E-3835-4B34-8A96-E7D2653ADBA2}" name="Actual" totalsRowFunction="custom" dataDxfId="793" totalsRowDxfId="788" dataCellStyle="Currency">
      <totalsRowFormula>SUM(H13:H26)</totalsRowFormula>
    </tableColumn>
    <tableColumn id="4" xr3:uid="{8ABC1D3D-43BA-4F9B-981A-0FA0EE02CE50}" name="Left" totalsRowFunction="sum" dataDxfId="792" totalsRowDxfId="787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5C5F31-13A9-4CEA-9193-37475751E1DB}" name="Bills_1" displayName="Bills_1" ref="K12:N27" totalsRowCount="1" headerRowDxfId="785" dataDxfId="775" totalsRowDxfId="780" headerRowBorderDxfId="821" tableBorderDxfId="820" totalsRowBorderDxfId="819">
  <autoFilter ref="K12:N26" xr:uid="{EB5C5F31-13A9-4CEA-9193-37475751E1DB}"/>
  <tableColumns count="4">
    <tableColumn id="1" xr3:uid="{974AB822-F1D7-4B32-882A-2EFFDCBD2EB4}" name="Bill" totalsRowLabel="Total" dataDxfId="779" totalsRowDxfId="784"/>
    <tableColumn id="2" xr3:uid="{1575EFDB-723D-4B63-81F2-B41C72839C5A}" name="Due" dataDxfId="778" totalsRowDxfId="783"/>
    <tableColumn id="3" xr3:uid="{BC90331A-648F-4944-B224-7A23A04D9C44}" name="Planned" totalsRowFunction="custom" dataDxfId="777" totalsRowDxfId="782" dataCellStyle="Currency">
      <totalsRowFormula>SUM(M13:M26)</totalsRowFormula>
    </tableColumn>
    <tableColumn id="4" xr3:uid="{820C1A9B-D61A-4153-9713-E99DFF4DF0C9}" name="Actual" totalsRowFunction="count" dataDxfId="776" totalsRowDxfId="781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7F0D9A-AB58-44A4-9409-811D7CF48231}" name="Subscriptions_1" displayName="Subscriptions_1" ref="P12:S27" totalsRowCount="1" headerRowDxfId="774" dataDxfId="764" totalsRowDxfId="769" headerRowBorderDxfId="818" tableBorderDxfId="817" totalsRowBorderDxfId="816">
  <autoFilter ref="P12:S26" xr:uid="{0E7F0D9A-AB58-44A4-9409-811D7CF48231}"/>
  <tableColumns count="4">
    <tableColumn id="1" xr3:uid="{E7C3C493-1D35-494E-8780-064E76CA215A}" name="Service" totalsRowLabel="Total" dataDxfId="768" totalsRowDxfId="773"/>
    <tableColumn id="2" xr3:uid="{B808D1D5-EB2E-4C46-9F05-307A3089A0EB}" name="Due" dataDxfId="767" totalsRowDxfId="772"/>
    <tableColumn id="3" xr3:uid="{970C713E-06E0-47FF-96E6-E3CF2E914BBC}" name="Planned" totalsRowFunction="custom" dataDxfId="766" totalsRowDxfId="771">
      <totalsRowFormula>SUM(R13:R26)</totalsRowFormula>
    </tableColumn>
    <tableColumn id="4" xr3:uid="{F190011F-4908-4132-8EC4-6494253264FA}" name="Actual" totalsRowFunction="count" dataDxfId="765" totalsRowDxfId="77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F81A8-B423-4B5B-B86F-3F525C6B18A9}" name="Savings_1" displayName="Savings_1" ref="U12:X27" totalsRowCount="1" headerRowDxfId="763" totalsRowDxfId="813" headerRowBorderDxfId="815" tableBorderDxfId="814" totalsRowBorderDxfId="812">
  <autoFilter ref="U12:X26" xr:uid="{B4BF81A8-B423-4B5B-B86F-3F525C6B18A9}"/>
  <tableColumns count="4">
    <tableColumn id="1" xr3:uid="{2CF9D6BD-DDC0-49CA-A5EA-61E3721B6E5E}" name="Aim" totalsRowLabel="Total" dataDxfId="811" totalsRowDxfId="762"/>
    <tableColumn id="2" xr3:uid="{D196274E-04BA-4C40-9CB9-845488706B69}" name="Planned" totalsRowFunction="custom" dataDxfId="810" totalsRowDxfId="761">
      <totalsRowFormula>SUM(V13:V26)</totalsRowFormula>
    </tableColumn>
    <tableColumn id="3" xr3:uid="{BCD8925A-A2B2-47A6-A8D8-57B4DBA32F92}" name="Actual" totalsRowFunction="sum" dataDxfId="809" totalsRowDxfId="760"/>
    <tableColumn id="4" xr3:uid="{B2F711D2-4F5D-447B-81E8-1FBAB0FC774A}" name="Left" totalsRowFunction="custom" dataDxfId="808" totalsRowDxfId="759">
      <calculatedColumnFormula>Savings_1[[#This Row],[Planned]]-Savings_1[[#This Row],[Actual]]</calculatedColumnFormula>
      <totalsRowFormula>SUM(Savings_1[Left])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FB26928D-7C21-4B2B-806D-62A9DE8BA01B}" name="Income_2" displayName="Income_2" ref="A12:D27" totalsRowCount="1" headerRowDxfId="758" dataDxfId="757" totalsRowDxfId="756" headerRowBorderDxfId="754" tableBorderDxfId="755" totalsRowBorderDxfId="753">
  <autoFilter ref="A12:D26" xr:uid="{93B9FDA8-428F-476D-9993-DDB17573CCE8}"/>
  <tableColumns count="4">
    <tableColumn id="1" xr3:uid="{362009EA-48E4-4ABA-9654-D1B663CEFEEA}" name="Source" totalsRowLabel="Total" dataDxfId="751" totalsRowDxfId="752"/>
    <tableColumn id="2" xr3:uid="{E35ED8F0-2481-4B3D-A1B4-BC34EBA2C467}" name="Planned" totalsRowFunction="custom" dataDxfId="749" totalsRowDxfId="750">
      <totalsRowFormula>SUM(B13:B26)</totalsRowFormula>
    </tableColumn>
    <tableColumn id="3" xr3:uid="{C8FC4882-5952-40A6-8F8C-E9F4AD594922}" name="Actual" totalsRowFunction="custom" dataDxfId="747" totalsRowDxfId="748">
      <totalsRowFormula>SUM(Income_2[Actual])</totalsRowFormula>
    </tableColumn>
    <tableColumn id="4" xr3:uid="{B5962AD4-7367-4B28-AFAB-A0295DBFFEBF}" name="Left" totalsRowFunction="sum" dataDxfId="745" totalsRowDxfId="746"/>
  </tableColumns>
  <tableStyleInfo name="Table Style Min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EAE38983-C5DA-4B54-80AB-75E08CD5F349}" name="Expenses_2" displayName="Expenses_2" ref="F12:I27" totalsRowCount="1" headerRowDxfId="744" dataDxfId="743" totalsRowDxfId="742" headerRowBorderDxfId="740" tableBorderDxfId="741" totalsRowBorderDxfId="739">
  <autoFilter ref="F12:I26" xr:uid="{24A8353D-9D5D-42AC-A175-10AA233D4CCC}"/>
  <tableColumns count="4">
    <tableColumn id="1" xr3:uid="{3F7938E6-973A-4BB2-9622-72C13ACB69B5}" name="Category" totalsRowLabel="Total" dataDxfId="737" totalsRowDxfId="738"/>
    <tableColumn id="2" xr3:uid="{41A4A396-45FB-4480-B5FE-967E4303EE05}" name="Planned" totalsRowFunction="custom" dataDxfId="735" totalsRowDxfId="736" dataCellStyle="Currency">
      <totalsRowFormula>SUM(G13:G26)</totalsRowFormula>
    </tableColumn>
    <tableColumn id="3" xr3:uid="{766FB4B1-A4EE-4AAC-8BB0-6312AAD9CFA9}" name="Actual" totalsRowFunction="custom" dataDxfId="733" totalsRowDxfId="734" dataCellStyle="Currency">
      <totalsRowFormula>SUM(H13:H26)</totalsRowFormula>
    </tableColumn>
    <tableColumn id="4" xr3:uid="{3102163E-CB0B-4090-8A32-C37D5A3F9EDF}" name="Left" totalsRowFunction="sum" dataDxfId="731" totalsRowDxfId="732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698C72EE-31CF-4F61-AE7D-4B3A50E5B2A2}" name="Bills_2" displayName="Bills_2" ref="K12:N27" totalsRowCount="1" headerRowDxfId="730" dataDxfId="729" totalsRowDxfId="728" headerRowBorderDxfId="726" tableBorderDxfId="727" totalsRowBorderDxfId="725">
  <autoFilter ref="K12:N26" xr:uid="{EB5C5F31-13A9-4CEA-9193-37475751E1DB}"/>
  <tableColumns count="4">
    <tableColumn id="1" xr3:uid="{A42CA187-325D-436B-9434-77C2589632E8}" name="Bill" totalsRowLabel="Total" dataDxfId="723" totalsRowDxfId="724"/>
    <tableColumn id="2" xr3:uid="{88E29507-DAFB-46D6-A0F0-A61323CAEF16}" name="Due" dataDxfId="721" totalsRowDxfId="722"/>
    <tableColumn id="3" xr3:uid="{CF7B0907-E506-4A26-863A-42B07165FB7E}" name="Planned" totalsRowFunction="custom" dataDxfId="719" totalsRowDxfId="720" dataCellStyle="Currency">
      <totalsRowFormula>SUM(M13:M26)</totalsRowFormula>
    </tableColumn>
    <tableColumn id="4" xr3:uid="{56438207-CCAF-4014-B8D9-3165B61968BA}" name="Actual" totalsRowFunction="count" dataDxfId="717" totalsRowDxfId="718" dataCellStyle="Currenc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1CF79818-9B08-49B3-A090-88B0391D6118}" name="Subscriptions_2" displayName="Subscriptions_2" ref="P12:S27" totalsRowCount="1" headerRowDxfId="716" dataDxfId="715" totalsRowDxfId="714" headerRowBorderDxfId="712" tableBorderDxfId="713" totalsRowBorderDxfId="711">
  <autoFilter ref="P12:S26" xr:uid="{0E7F0D9A-AB58-44A4-9409-811D7CF48231}"/>
  <tableColumns count="4">
    <tableColumn id="1" xr3:uid="{B4834FE0-403D-4117-BCC6-0AACA9A3DC3E}" name="Service" totalsRowLabel="Total" dataDxfId="709" totalsRowDxfId="710"/>
    <tableColumn id="2" xr3:uid="{05B6A2B7-6019-47FB-8EC9-B12BA741F8BA}" name="Due" dataDxfId="707" totalsRowDxfId="708"/>
    <tableColumn id="3" xr3:uid="{7C514680-8186-4D88-8060-5B38D9ADA5F5}" name="Planned" totalsRowFunction="custom" dataDxfId="705" totalsRowDxfId="706">
      <totalsRowFormula>SUM(R13:R26)</totalsRowFormula>
    </tableColumn>
    <tableColumn id="4" xr3:uid="{0CC8A4CC-DF94-4466-B70C-734F76BBC8B1}" name="Actual" totalsRowFunction="count" dataDxfId="703" totalsRowDxfId="70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FA93CF0-27EC-4348-A890-3DF864355D9C}" name="Savings_2" displayName="Savings_2" ref="U12:X27" totalsRowCount="1" headerRowDxfId="702" totalsRowDxfId="701" headerRowBorderDxfId="699" tableBorderDxfId="700" totalsRowBorderDxfId="698">
  <autoFilter ref="U12:X26" xr:uid="{B4BF81A8-B423-4B5B-B86F-3F525C6B18A9}"/>
  <tableColumns count="4">
    <tableColumn id="1" xr3:uid="{D2C1F21A-823F-409C-8730-8DFFEDFBD3C0}" name="Aim" totalsRowLabel="Total" dataDxfId="696" totalsRowDxfId="697"/>
    <tableColumn id="2" xr3:uid="{A560C590-C37C-4EB8-AD58-9FCE5D1CE565}" name="Planned" totalsRowFunction="custom" dataDxfId="694" totalsRowDxfId="695">
      <totalsRowFormula>SUM(V13:V26)</totalsRowFormula>
    </tableColumn>
    <tableColumn id="3" xr3:uid="{E5CB960B-1E0C-4C5A-9593-474391F8D2D4}" name="Actual" totalsRowFunction="sum" dataDxfId="692" totalsRowDxfId="693"/>
    <tableColumn id="4" xr3:uid="{DDE0CFDD-E150-4A0A-BC16-0329098381D4}" name="Left" totalsRowFunction="custom" dataDxfId="690" totalsRowDxfId="691">
      <calculatedColumnFormula>Savings_2[[#This Row],[Planned]]-Savings_2[[#This Row],[Actual]]</calculatedColumnFormula>
      <totalsRowFormula>SUM(Savings_2[Left])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605A0B24-AB70-4319-B8E6-A3018B3C5996}" name="Income_3" displayName="Income_3" ref="A12:D27" totalsRowCount="1" headerRowDxfId="689" dataDxfId="688" totalsRowDxfId="687" headerRowBorderDxfId="685" tableBorderDxfId="686" totalsRowBorderDxfId="684">
  <autoFilter ref="A12:D26" xr:uid="{93B9FDA8-428F-476D-9993-DDB17573CCE8}"/>
  <tableColumns count="4">
    <tableColumn id="1" xr3:uid="{FF9D39BD-9A16-4AD8-9F94-4643C6A66385}" name="Source" totalsRowLabel="Total" dataDxfId="682" totalsRowDxfId="683"/>
    <tableColumn id="2" xr3:uid="{307A6E6B-1C9B-4956-859B-42A74A6A39D6}" name="Planned" totalsRowFunction="custom" dataDxfId="680" totalsRowDxfId="681">
      <totalsRowFormula>SUM(B13:B26)</totalsRowFormula>
    </tableColumn>
    <tableColumn id="3" xr3:uid="{265A99FA-1966-4AEC-B3A4-D30AFF35326E}" name="Actual" totalsRowFunction="custom" dataDxfId="678" totalsRowDxfId="679">
      <totalsRowFormula>SUM(Income_3[Actual])</totalsRowFormula>
    </tableColumn>
    <tableColumn id="4" xr3:uid="{C76CE60A-4577-422D-A4EA-20C21938EE76}" name="Left" totalsRowFunction="sum" dataDxfId="676" totalsRowDxfId="677"/>
  </tableColumns>
  <tableStyleInfo name="Table Style Min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0D200A0-D138-4C60-9C47-8DEB1E81B352}" name="Expenses_3" displayName="Expenses_3" ref="F12:I27" totalsRowCount="1" headerRowDxfId="675" dataDxfId="674" totalsRowDxfId="673" headerRowBorderDxfId="671" tableBorderDxfId="672" totalsRowBorderDxfId="670">
  <autoFilter ref="F12:I26" xr:uid="{24A8353D-9D5D-42AC-A175-10AA233D4CCC}"/>
  <tableColumns count="4">
    <tableColumn id="1" xr3:uid="{EDFDBAF0-7D21-49A5-AC48-3B567C1F4C94}" name="Category" totalsRowLabel="Total" dataDxfId="668" totalsRowDxfId="669"/>
    <tableColumn id="2" xr3:uid="{490EBFE2-2585-4C33-A835-60DB1F941B2C}" name="Planned" totalsRowFunction="custom" dataDxfId="666" totalsRowDxfId="667" dataCellStyle="Currency">
      <totalsRowFormula>SUM(G13:G26)</totalsRowFormula>
    </tableColumn>
    <tableColumn id="3" xr3:uid="{7AD6BA48-CF51-41EF-9215-0E5402A0AED4}" name="Actual" totalsRowFunction="custom" dataDxfId="664" totalsRowDxfId="665" dataCellStyle="Currency">
      <totalsRowFormula>SUM(H13:H26)</totalsRowFormula>
    </tableColumn>
    <tableColumn id="4" xr3:uid="{F79F20E7-7EE3-4570-8080-D35EE668E789}" name="Left" totalsRowFunction="sum" dataDxfId="662" totalsRowDxfId="663" dataCellStyle="Currenc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16B0B3A-F2E1-463A-B544-01F36ED7660C}" name="Bills_3" displayName="Bills_3" ref="K12:N27" totalsRowCount="1" headerRowDxfId="661" dataDxfId="660" totalsRowDxfId="659" headerRowBorderDxfId="657" tableBorderDxfId="658" totalsRowBorderDxfId="656">
  <autoFilter ref="K12:N26" xr:uid="{EB5C5F31-13A9-4CEA-9193-37475751E1DB}"/>
  <tableColumns count="4">
    <tableColumn id="1" xr3:uid="{32CAAC0A-40DF-4C74-9480-77C97B3D3F7A}" name="Bill" totalsRowLabel="Total" dataDxfId="654" totalsRowDxfId="655"/>
    <tableColumn id="2" xr3:uid="{5D5615E1-73FF-469D-8D45-9B1783D3D7A8}" name="Due" dataDxfId="652" totalsRowDxfId="653"/>
    <tableColumn id="3" xr3:uid="{56FD2A76-246B-4B7B-8DC0-4F108851418C}" name="Planned" totalsRowFunction="custom" dataDxfId="650" totalsRowDxfId="651" dataCellStyle="Currency">
      <totalsRowFormula>SUM(M13:M26)</totalsRowFormula>
    </tableColumn>
    <tableColumn id="4" xr3:uid="{A5276307-B195-443C-B538-A1413FE0CF62}" name="Actual" totalsRowFunction="count" dataDxfId="648" totalsRowDxfId="649" dataCellStyle="Currenc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F926C3FD-EA70-4C15-8E1D-7F0CC7AC70A2}" name="Subscriptions_3" displayName="Subscriptions_3" ref="P12:S27" totalsRowCount="1" headerRowDxfId="647" dataDxfId="646" totalsRowDxfId="645" headerRowBorderDxfId="643" tableBorderDxfId="644" totalsRowBorderDxfId="642">
  <autoFilter ref="P12:S26" xr:uid="{0E7F0D9A-AB58-44A4-9409-811D7CF48231}"/>
  <tableColumns count="4">
    <tableColumn id="1" xr3:uid="{DB900BC7-597F-4B83-AA15-8479BF148971}" name="Service" totalsRowLabel="Total" dataDxfId="640" totalsRowDxfId="641"/>
    <tableColumn id="2" xr3:uid="{2D423B69-94DD-4B81-BE94-F8581DAB52B0}" name="Due" dataDxfId="638" totalsRowDxfId="639"/>
    <tableColumn id="3" xr3:uid="{9C95AF54-BDE7-40CD-9357-3C647800DB5B}" name="Planned" totalsRowFunction="custom" dataDxfId="636" totalsRowDxfId="637">
      <totalsRowFormula>SUM(R13:R26)</totalsRowFormula>
    </tableColumn>
    <tableColumn id="4" xr3:uid="{81272257-BB12-4A50-8C77-8087AA6FBA6D}" name="Actual" totalsRowFunction="count" dataDxfId="634" totalsRowDxfId="63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B9C84CBD-0EC0-4DBB-A55B-5C4BF92C0202}" name="Savings_3" displayName="Savings_3" ref="U12:X27" totalsRowCount="1" headerRowDxfId="633" totalsRowDxfId="632" headerRowBorderDxfId="630" tableBorderDxfId="631" totalsRowBorderDxfId="629">
  <autoFilter ref="U12:X26" xr:uid="{B4BF81A8-B423-4B5B-B86F-3F525C6B18A9}"/>
  <tableColumns count="4">
    <tableColumn id="1" xr3:uid="{38D64C87-83E3-4978-8D8E-2E40C826EE92}" name="Aim" totalsRowLabel="Total" dataDxfId="627" totalsRowDxfId="628"/>
    <tableColumn id="2" xr3:uid="{4A6B3C54-D15D-4ADB-A7A2-C4DB4C914FA9}" name="Planned" totalsRowFunction="custom" dataDxfId="625" totalsRowDxfId="626">
      <totalsRowFormula>SUM(V13:V26)</totalsRowFormula>
    </tableColumn>
    <tableColumn id="3" xr3:uid="{25F36CA3-88F0-479F-A462-DB1E15829AE8}" name="Actual" totalsRowFunction="sum" dataDxfId="623" totalsRowDxfId="624"/>
    <tableColumn id="4" xr3:uid="{52D559AF-667E-4353-A0D2-4746196B40F5}" name="Left" totalsRowFunction="custom" dataDxfId="621" totalsRowDxfId="622">
      <calculatedColumnFormula>Savings_3[[#This Row],[Planned]]-Savings_3[[#This Row],[Actual]]</calculatedColumnFormula>
      <totalsRowFormula>SUM(Savings_3[Left])</totalsRow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CC113609-E3BD-405E-AC33-D7C62DE9CED8}" name="Income_4" displayName="Income_4" ref="A12:D27" totalsRowCount="1" headerRowDxfId="620" dataDxfId="619" totalsRowDxfId="618" headerRowBorderDxfId="616" tableBorderDxfId="617" totalsRowBorderDxfId="615">
  <autoFilter ref="A12:D26" xr:uid="{93B9FDA8-428F-476D-9993-DDB17573CCE8}"/>
  <tableColumns count="4">
    <tableColumn id="1" xr3:uid="{E8364860-ADBC-49ED-93E8-9B23DEF0EC0D}" name="Source" totalsRowLabel="Total" dataDxfId="613" totalsRowDxfId="614"/>
    <tableColumn id="2" xr3:uid="{2BD16494-58B5-4C6D-9454-EC832D1A698A}" name="Planned" totalsRowFunction="custom" dataDxfId="611" totalsRowDxfId="612">
      <totalsRowFormula>SUM(B13:B26)</totalsRowFormula>
    </tableColumn>
    <tableColumn id="3" xr3:uid="{3CCCA86C-6435-470D-813C-E1BFFC1770A3}" name="Actual" totalsRowFunction="custom" dataDxfId="609" totalsRowDxfId="610">
      <totalsRowFormula>SUM(Income_4[Actual])</totalsRowFormula>
    </tableColumn>
    <tableColumn id="4" xr3:uid="{C1696D3F-D54D-43C4-A616-38EFBB8C6668}" name="Left" totalsRowFunction="sum" dataDxfId="607" totalsRowDxfId="608"/>
  </tableColumns>
  <tableStyleInfo name="Table Style Min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8A84B299-31D2-4F21-BBE5-971FAEE7A0BD}" name="Expenses_4" displayName="Expenses_4" ref="F12:I27" totalsRowCount="1" headerRowDxfId="606" dataDxfId="605" totalsRowDxfId="604" headerRowBorderDxfId="602" tableBorderDxfId="603" totalsRowBorderDxfId="601">
  <autoFilter ref="F12:I26" xr:uid="{24A8353D-9D5D-42AC-A175-10AA233D4CCC}"/>
  <tableColumns count="4">
    <tableColumn id="1" xr3:uid="{4CE3A2FF-636A-4A37-96E9-2BD8007C5A3F}" name="Category" totalsRowLabel="Total" dataDxfId="599" totalsRowDxfId="600"/>
    <tableColumn id="2" xr3:uid="{11136BEC-8FF1-46AD-A20D-3E88415C5785}" name="Planned" totalsRowFunction="custom" dataDxfId="597" totalsRowDxfId="598" dataCellStyle="Currency">
      <totalsRowFormula>SUM(G13:G26)</totalsRowFormula>
    </tableColumn>
    <tableColumn id="3" xr3:uid="{E2FFA5E6-E2EE-4A0C-BFF4-CE590B2A72AD}" name="Actual" totalsRowFunction="custom" dataDxfId="595" totalsRowDxfId="596" dataCellStyle="Currency">
      <totalsRowFormula>SUM(H13:H26)</totalsRowFormula>
    </tableColumn>
    <tableColumn id="4" xr3:uid="{5ED49AF9-3D74-4FB7-9FC6-B22E8BBE06D0}" name="Left" totalsRowFunction="sum" dataDxfId="593" totalsRowDxfId="594" dataCellStyle="Currenc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CEDFED78-2B62-48C7-A802-65701B69F44C}" name="Bills_4" displayName="Bills_4" ref="K12:N27" totalsRowCount="1" headerRowDxfId="592" dataDxfId="591" totalsRowDxfId="590" headerRowBorderDxfId="588" tableBorderDxfId="589" totalsRowBorderDxfId="587">
  <autoFilter ref="K12:N26" xr:uid="{EB5C5F31-13A9-4CEA-9193-37475751E1DB}"/>
  <tableColumns count="4">
    <tableColumn id="1" xr3:uid="{1B7BD27C-FE26-4E0E-9D21-1E8E23744E25}" name="Bill" totalsRowLabel="Total" dataDxfId="585" totalsRowDxfId="586"/>
    <tableColumn id="2" xr3:uid="{A4A00E6E-51C8-4DBE-8BEA-BC3615254263}" name="Due" dataDxfId="583" totalsRowDxfId="584"/>
    <tableColumn id="3" xr3:uid="{5A2E8E7F-DB78-48B5-8E31-715D94F45FE2}" name="Planned" totalsRowFunction="custom" dataDxfId="581" totalsRowDxfId="582" dataCellStyle="Currency">
      <totalsRowFormula>SUM(M13:M26)</totalsRowFormula>
    </tableColumn>
    <tableColumn id="4" xr3:uid="{69302238-191E-4E8D-845B-743B8D054FE0}" name="Actual" totalsRowFunction="count" dataDxfId="579" totalsRowDxfId="580" dataCellStyle="Currency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FD8FB5B1-A342-40D8-B9B2-788CF3CBEF59}" name="Subscriptions_4" displayName="Subscriptions_4" ref="P12:S27" totalsRowCount="1" headerRowDxfId="578" dataDxfId="577" totalsRowDxfId="576" headerRowBorderDxfId="574" tableBorderDxfId="575" totalsRowBorderDxfId="573">
  <autoFilter ref="P12:S26" xr:uid="{0E7F0D9A-AB58-44A4-9409-811D7CF48231}"/>
  <tableColumns count="4">
    <tableColumn id="1" xr3:uid="{0AAA025F-15BC-43AB-B010-5AC3A1B0E51A}" name="Service" totalsRowLabel="Total" dataDxfId="571" totalsRowDxfId="572"/>
    <tableColumn id="2" xr3:uid="{2CE3E7AF-18C3-45B1-B44E-C16DB2E5C789}" name="Due" dataDxfId="569" totalsRowDxfId="570"/>
    <tableColumn id="3" xr3:uid="{1FE002DF-D68B-4364-9B0B-F3DE715440C3}" name="Planned" totalsRowFunction="custom" dataDxfId="567" totalsRowDxfId="568">
      <totalsRowFormula>SUM(R13:R26)</totalsRowFormula>
    </tableColumn>
    <tableColumn id="4" xr3:uid="{9004E1FE-4842-4CB7-9E07-432DC1959A46}" name="Actual" totalsRowFunction="count" dataDxfId="565" totalsRowDxfId="56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2CB17235-8BE2-463F-9926-9728FA8289B6}" name="Savings_4" displayName="Savings_4" ref="U12:X27" totalsRowCount="1" headerRowDxfId="564" totalsRowDxfId="563" headerRowBorderDxfId="561" tableBorderDxfId="562" totalsRowBorderDxfId="560">
  <autoFilter ref="U12:X26" xr:uid="{B4BF81A8-B423-4B5B-B86F-3F525C6B18A9}"/>
  <tableColumns count="4">
    <tableColumn id="1" xr3:uid="{F6ADBD47-EE45-40AD-A48C-8D800A057773}" name="Aim" totalsRowLabel="Total" dataDxfId="558" totalsRowDxfId="559"/>
    <tableColumn id="2" xr3:uid="{681F6EBE-D641-4B16-833E-0C6584AE0840}" name="Planned" totalsRowFunction="custom" dataDxfId="556" totalsRowDxfId="557">
      <totalsRowFormula>SUM(V13:V26)</totalsRowFormula>
    </tableColumn>
    <tableColumn id="3" xr3:uid="{1F44831B-73C7-4346-BE15-96B26102A0A9}" name="Actual" totalsRowFunction="sum" dataDxfId="554" totalsRowDxfId="555"/>
    <tableColumn id="4" xr3:uid="{549684D4-F9E3-47F6-A034-E1DB847232D6}" name="Left" totalsRowFunction="custom" dataDxfId="552" totalsRowDxfId="553">
      <calculatedColumnFormula>Savings_4[[#This Row],[Planned]]-Savings_4[[#This Row],[Actual]]</calculatedColumnFormula>
      <totalsRowFormula>SUM(Savings_4[Left])</totalsRow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DE3EABD9-7F4B-4EB0-A7FC-CEA5A359DFFF}" name="Income_5" displayName="Income_5" ref="A12:D27" totalsRowCount="1" headerRowDxfId="551" dataDxfId="550" totalsRowDxfId="549" headerRowBorderDxfId="547" tableBorderDxfId="548" totalsRowBorderDxfId="546">
  <autoFilter ref="A12:D26" xr:uid="{93B9FDA8-428F-476D-9993-DDB17573CCE8}"/>
  <tableColumns count="4">
    <tableColumn id="1" xr3:uid="{B9F68494-251C-4ACF-BE0E-0938231B7F45}" name="Source" totalsRowLabel="Total" dataDxfId="544" totalsRowDxfId="545"/>
    <tableColumn id="2" xr3:uid="{EA395D76-AF25-497F-8920-92218E81D7F2}" name="Planned" totalsRowFunction="custom" dataDxfId="542" totalsRowDxfId="543">
      <totalsRowFormula>SUM(B13:B26)</totalsRowFormula>
    </tableColumn>
    <tableColumn id="3" xr3:uid="{67AB5542-282F-4679-BE63-870483974B02}" name="Actual" totalsRowFunction="custom" dataDxfId="540" totalsRowDxfId="541">
      <totalsRowFormula>SUM(Income_5[Actual])</totalsRowFormula>
    </tableColumn>
    <tableColumn id="4" xr3:uid="{654E6ACA-D86C-4FD8-A749-69FDBE3E4CF4}" name="Left" totalsRowFunction="sum" dataDxfId="538" totalsRowDxfId="539"/>
  </tableColumns>
  <tableStyleInfo name="Table Style Min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AF1D58A-F0ED-4ECC-9C82-469FABA95AF6}" name="Expenses_5" displayName="Expenses_5" ref="F12:I27" totalsRowCount="1" headerRowDxfId="537" dataDxfId="536" totalsRowDxfId="535" headerRowBorderDxfId="533" tableBorderDxfId="534" totalsRowBorderDxfId="532">
  <autoFilter ref="F12:I26" xr:uid="{24A8353D-9D5D-42AC-A175-10AA233D4CCC}"/>
  <tableColumns count="4">
    <tableColumn id="1" xr3:uid="{E7027831-3EDD-4B83-80A0-62D3B16F1EA5}" name="Category" totalsRowLabel="Total" dataDxfId="530" totalsRowDxfId="531"/>
    <tableColumn id="2" xr3:uid="{3069C693-4C51-4ECE-B95C-C99E10B22196}" name="Planned" totalsRowFunction="custom" dataDxfId="528" totalsRowDxfId="529" dataCellStyle="Currency">
      <totalsRowFormula>SUM(G13:G26)</totalsRowFormula>
    </tableColumn>
    <tableColumn id="3" xr3:uid="{31AD57C8-AC0A-4AF7-AF80-A84FD99FC1F6}" name="Actual" totalsRowFunction="custom" dataDxfId="526" totalsRowDxfId="527" dataCellStyle="Currency">
      <totalsRowFormula>SUM(H13:H26)</totalsRowFormula>
    </tableColumn>
    <tableColumn id="4" xr3:uid="{45EC5A74-C72B-4480-B144-232300C4458D}" name="Left" totalsRowFunction="sum" dataDxfId="524" totalsRowDxfId="525" dataCellStyle="Currenc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C0E409BC-6F2E-4FA6-BF11-BC61CF625799}" name="Bills_5" displayName="Bills_5" ref="K12:N27" totalsRowCount="1" headerRowDxfId="523" dataDxfId="522" totalsRowDxfId="521" headerRowBorderDxfId="519" tableBorderDxfId="520" totalsRowBorderDxfId="518">
  <autoFilter ref="K12:N26" xr:uid="{EB5C5F31-13A9-4CEA-9193-37475751E1DB}"/>
  <tableColumns count="4">
    <tableColumn id="1" xr3:uid="{620B192A-286D-43C2-B19F-4108FFCEDD38}" name="Bill" totalsRowLabel="Total" dataDxfId="516" totalsRowDxfId="517"/>
    <tableColumn id="2" xr3:uid="{931BC988-3C23-40A4-8820-B94DF3C3D93A}" name="Due" dataDxfId="514" totalsRowDxfId="515"/>
    <tableColumn id="3" xr3:uid="{CFA8D62E-6BB8-4758-8A93-497C553F926C}" name="Planned" totalsRowFunction="custom" dataDxfId="512" totalsRowDxfId="513" dataCellStyle="Currency">
      <totalsRowFormula>SUM(M13:M26)</totalsRowFormula>
    </tableColumn>
    <tableColumn id="4" xr3:uid="{07AFFC5F-2F97-4205-8A9C-77CC5C1FEF31}" name="Actual" totalsRowFunction="count" dataDxfId="510" totalsRowDxfId="511" dataCellStyle="Currency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130646B-FF39-447D-8DC5-7BEE9A7C3734}" name="Subscriptions_5" displayName="Subscriptions_5" ref="P12:S27" totalsRowCount="1" headerRowDxfId="509" dataDxfId="508" totalsRowDxfId="507" headerRowBorderDxfId="505" tableBorderDxfId="506" totalsRowBorderDxfId="504">
  <autoFilter ref="P12:S26" xr:uid="{0E7F0D9A-AB58-44A4-9409-811D7CF48231}"/>
  <tableColumns count="4">
    <tableColumn id="1" xr3:uid="{B1D1863D-D7EB-4051-95B3-FEE924512F6C}" name="Service" totalsRowLabel="Total" dataDxfId="502" totalsRowDxfId="503"/>
    <tableColumn id="2" xr3:uid="{01EF8DBA-221F-42D7-8954-EC3130A089A2}" name="Due" dataDxfId="500" totalsRowDxfId="501"/>
    <tableColumn id="3" xr3:uid="{CAAB2C3B-5DA1-4BC3-8A5E-C9E6456FD7D0}" name="Planned" totalsRowFunction="custom" dataDxfId="498" totalsRowDxfId="499">
      <totalsRowFormula>SUM(R13:R26)</totalsRowFormula>
    </tableColumn>
    <tableColumn id="4" xr3:uid="{E565ED4C-BEA2-41B3-96D9-1D758F4F5ADD}" name="Actual" totalsRowFunction="count" dataDxfId="496" totalsRowDxfId="49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8AA4FFD-F1E7-4DFA-B7CC-338406EB4371}" name="Savings_5" displayName="Savings_5" ref="U12:X27" totalsRowCount="1" headerRowDxfId="495" totalsRowDxfId="494" headerRowBorderDxfId="492" tableBorderDxfId="493" totalsRowBorderDxfId="491">
  <autoFilter ref="U12:X26" xr:uid="{B4BF81A8-B423-4B5B-B86F-3F525C6B18A9}"/>
  <tableColumns count="4">
    <tableColumn id="1" xr3:uid="{AFAFAED2-975B-473E-9F6B-6ADC10740C16}" name="Aim" totalsRowLabel="Total" dataDxfId="489" totalsRowDxfId="490"/>
    <tableColumn id="2" xr3:uid="{24CC27D1-D763-4CB1-9B0C-E514DFCD4695}" name="Planned" totalsRowFunction="custom" dataDxfId="487" totalsRowDxfId="488">
      <totalsRowFormula>SUM(V13:V26)</totalsRowFormula>
    </tableColumn>
    <tableColumn id="3" xr3:uid="{47B4E0B5-2B2A-4A6C-942B-62ADC9FCE10F}" name="Actual" totalsRowFunction="sum" dataDxfId="485" totalsRowDxfId="486"/>
    <tableColumn id="4" xr3:uid="{F192B236-BF1F-43A3-A74D-5418056F2296}" name="Left" totalsRowFunction="custom" dataDxfId="483" totalsRowDxfId="484">
      <calculatedColumnFormula>Savings_5[[#This Row],[Planned]]-Savings_5[[#This Row],[Actual]]</calculatedColumnFormula>
      <totalsRowFormula>SUM(Savings_5[Left])</totalsRow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5B75B709-5BEC-4D74-ADF5-4788412D569F}" name="Income_6" displayName="Income_6" ref="A12:D27" totalsRowCount="1" headerRowDxfId="482" dataDxfId="481" totalsRowDxfId="480" headerRowBorderDxfId="478" tableBorderDxfId="479" totalsRowBorderDxfId="477">
  <autoFilter ref="A12:D26" xr:uid="{93B9FDA8-428F-476D-9993-DDB17573CCE8}"/>
  <tableColumns count="4">
    <tableColumn id="1" xr3:uid="{90259258-2A15-406D-B72F-ED1CD6C4AD66}" name="Source" totalsRowLabel="Total" dataDxfId="475" totalsRowDxfId="476"/>
    <tableColumn id="2" xr3:uid="{E2E85E9A-ACFC-40C9-AF0D-7AA358AAB11E}" name="Planned" totalsRowFunction="custom" dataDxfId="473" totalsRowDxfId="474">
      <totalsRowFormula>SUM(B13:B26)</totalsRowFormula>
    </tableColumn>
    <tableColumn id="3" xr3:uid="{E814926C-7F7B-49B3-A642-95A730CBDB8D}" name="Actual" totalsRowFunction="custom" dataDxfId="471" totalsRowDxfId="472">
      <totalsRowFormula>SUM(Income_6[Actual])</totalsRowFormula>
    </tableColumn>
    <tableColumn id="4" xr3:uid="{3AA29E5C-E660-422F-9F60-FBAAFC4D6DA4}" name="Left" totalsRowFunction="sum" dataDxfId="469" totalsRowDxfId="470"/>
  </tableColumns>
  <tableStyleInfo name="Table Style Min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3F0B399C-174D-4A2D-8F93-C21400F5EBBD}" name="Expenses_6" displayName="Expenses_6" ref="F12:I27" totalsRowCount="1" headerRowDxfId="468" dataDxfId="467" totalsRowDxfId="466" headerRowBorderDxfId="464" tableBorderDxfId="465" totalsRowBorderDxfId="463">
  <autoFilter ref="F12:I26" xr:uid="{24A8353D-9D5D-42AC-A175-10AA233D4CCC}"/>
  <tableColumns count="4">
    <tableColumn id="1" xr3:uid="{5BD30382-105C-4E3C-8AF9-A93931FC1D9F}" name="Category" totalsRowLabel="Total" dataDxfId="461" totalsRowDxfId="462"/>
    <tableColumn id="2" xr3:uid="{6261BBCF-9A58-4A50-A035-4A15AE91353A}" name="Planned" totalsRowFunction="custom" dataDxfId="459" totalsRowDxfId="460" dataCellStyle="Currency">
      <totalsRowFormula>SUM(G13:G26)</totalsRowFormula>
    </tableColumn>
    <tableColumn id="3" xr3:uid="{BD877F42-6233-456E-A4E6-4F74115B8F79}" name="Actual" totalsRowFunction="custom" dataDxfId="457" totalsRowDxfId="458" dataCellStyle="Currency">
      <totalsRowFormula>SUM(H13:H26)</totalsRowFormula>
    </tableColumn>
    <tableColumn id="4" xr3:uid="{2567C91C-D43A-41FB-A14A-758BF45B779B}" name="Left" totalsRowFunction="sum" dataDxfId="455" totalsRowDxfId="456" dataCellStyle="Currency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553C2E9-50FC-4213-8DC0-DAE4873E0D79}" name="Bills_6" displayName="Bills_6" ref="K12:N27" totalsRowCount="1" headerRowDxfId="454" dataDxfId="453" totalsRowDxfId="452" headerRowBorderDxfId="450" tableBorderDxfId="451" totalsRowBorderDxfId="449">
  <autoFilter ref="K12:N26" xr:uid="{EB5C5F31-13A9-4CEA-9193-37475751E1DB}"/>
  <tableColumns count="4">
    <tableColumn id="1" xr3:uid="{CBBAEEC8-0C63-4020-8549-3B838CC297B6}" name="Bill" totalsRowLabel="Total" dataDxfId="447" totalsRowDxfId="448"/>
    <tableColumn id="2" xr3:uid="{5D443CFF-75E7-481D-9487-F49E514C313B}" name="Due" dataDxfId="445" totalsRowDxfId="446"/>
    <tableColumn id="3" xr3:uid="{F30D5AE3-B5AD-4A9D-8FB0-AB88A58BB35E}" name="Planned" totalsRowFunction="custom" dataDxfId="443" totalsRowDxfId="444" dataCellStyle="Currency">
      <totalsRowFormula>SUM(M13:M26)</totalsRowFormula>
    </tableColumn>
    <tableColumn id="4" xr3:uid="{141F1689-CF67-48DE-AA9C-4C5C48A6EF16}" name="Actual" totalsRowFunction="count" dataDxfId="441" totalsRowDxfId="442" dataCellStyle="Currency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75AD925-8096-4B95-AEEE-3F1983309CC6}" name="Subscriptions_6" displayName="Subscriptions_6" ref="P12:S27" totalsRowCount="1" headerRowDxfId="440" dataDxfId="439" totalsRowDxfId="438" headerRowBorderDxfId="436" tableBorderDxfId="437" totalsRowBorderDxfId="435">
  <autoFilter ref="P12:S26" xr:uid="{0E7F0D9A-AB58-44A4-9409-811D7CF48231}"/>
  <tableColumns count="4">
    <tableColumn id="1" xr3:uid="{A2FA52DF-D35F-4EAF-A699-527A52FC41CA}" name="Service" totalsRowLabel="Total" dataDxfId="433" totalsRowDxfId="434"/>
    <tableColumn id="2" xr3:uid="{186E3B50-E19D-4F5A-B113-9A3D8F4815D1}" name="Due" dataDxfId="431" totalsRowDxfId="432"/>
    <tableColumn id="3" xr3:uid="{B7770E88-851C-438F-8E39-D4376BD5BFAE}" name="Planned" totalsRowFunction="custom" dataDxfId="429" totalsRowDxfId="430">
      <totalsRowFormula>SUM(R13:R26)</totalsRowFormula>
    </tableColumn>
    <tableColumn id="4" xr3:uid="{7EDA17A4-B39F-4E7A-B87E-3D5D31E77584}" name="Actual" totalsRowFunction="count" dataDxfId="427" totalsRowDxfId="42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8074EC03-1CCC-4931-BD79-434372A0C65E}" name="Savings_6" displayName="Savings_6" ref="U12:X27" totalsRowCount="1" headerRowDxfId="426" totalsRowDxfId="425" headerRowBorderDxfId="423" tableBorderDxfId="424" totalsRowBorderDxfId="422">
  <autoFilter ref="U12:X26" xr:uid="{B4BF81A8-B423-4B5B-B86F-3F525C6B18A9}"/>
  <tableColumns count="4">
    <tableColumn id="1" xr3:uid="{DCA17BD2-CB89-44E9-933E-6B00E9C6A5CA}" name="Aim" totalsRowLabel="Total" dataDxfId="420" totalsRowDxfId="421"/>
    <tableColumn id="2" xr3:uid="{1609CBA1-C22A-4C24-ABE8-E81F9D8A77E7}" name="Planned" totalsRowFunction="custom" dataDxfId="418" totalsRowDxfId="419">
      <totalsRowFormula>SUM(V13:V26)</totalsRowFormula>
    </tableColumn>
    <tableColumn id="3" xr3:uid="{FCD50F74-949B-4E97-8777-46167C123168}" name="Actual" totalsRowFunction="sum" dataDxfId="416" totalsRowDxfId="417"/>
    <tableColumn id="4" xr3:uid="{3392D62A-D2B0-4FCC-B64F-6AE4EB88A0B4}" name="Left" totalsRowFunction="custom" dataDxfId="414" totalsRowDxfId="415">
      <calculatedColumnFormula>Savings_6[[#This Row],[Planned]]-Savings_6[[#This Row],[Actual]]</calculatedColumnFormula>
      <totalsRowFormula>SUM(Savings_6[Left])</totalsRow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CB252F1F-8059-4418-AD45-DF4799D8D27B}" name="Income_7" displayName="Income_7" ref="A12:D27" totalsRowCount="1" headerRowDxfId="413" dataDxfId="412" totalsRowDxfId="411" headerRowBorderDxfId="409" tableBorderDxfId="410" totalsRowBorderDxfId="408">
  <autoFilter ref="A12:D26" xr:uid="{93B9FDA8-428F-476D-9993-DDB17573CCE8}"/>
  <tableColumns count="4">
    <tableColumn id="1" xr3:uid="{8689FAA3-E3ED-492F-B09E-C1FCACF7FAFF}" name="Source" totalsRowLabel="Total" dataDxfId="406" totalsRowDxfId="407"/>
    <tableColumn id="2" xr3:uid="{CFACF43C-C327-4044-BF16-CD842EDE8716}" name="Planned" totalsRowFunction="custom" dataDxfId="404" totalsRowDxfId="405">
      <totalsRowFormula>SUM(B13:B26)</totalsRowFormula>
    </tableColumn>
    <tableColumn id="3" xr3:uid="{E6480FA0-6F1B-4D85-BCF0-4E15537A371C}" name="Actual" totalsRowFunction="custom" dataDxfId="402" totalsRowDxfId="403">
      <totalsRowFormula>SUM(Income_7[Actual])</totalsRowFormula>
    </tableColumn>
    <tableColumn id="4" xr3:uid="{F0003338-5E26-4D0A-AB7E-880CFA8F5FDD}" name="Left" totalsRowFunction="sum" dataDxfId="400" totalsRowDxfId="401"/>
  </tableColumns>
  <tableStyleInfo name="Table Style Mine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3100959-9113-400C-9CA6-C81622B30CAF}" name="Expenses_7" displayName="Expenses_7" ref="F12:I27" totalsRowCount="1" headerRowDxfId="399" dataDxfId="398" totalsRowDxfId="397" headerRowBorderDxfId="395" tableBorderDxfId="396" totalsRowBorderDxfId="394">
  <autoFilter ref="F12:I26" xr:uid="{24A8353D-9D5D-42AC-A175-10AA233D4CCC}"/>
  <tableColumns count="4">
    <tableColumn id="1" xr3:uid="{7E5CD3CF-40E2-44BD-816D-54C84AD83965}" name="Category" totalsRowLabel="Total" dataDxfId="392" totalsRowDxfId="393"/>
    <tableColumn id="2" xr3:uid="{AA4F64E0-6FA8-41A0-8C71-409CFFA6657D}" name="Planned" totalsRowFunction="custom" dataDxfId="390" totalsRowDxfId="391" dataCellStyle="Currency">
      <totalsRowFormula>SUM(G13:G26)</totalsRowFormula>
    </tableColumn>
    <tableColumn id="3" xr3:uid="{A6B921A7-A69D-4FCF-9424-84C6318E2865}" name="Actual" totalsRowFunction="custom" dataDxfId="388" totalsRowDxfId="389" dataCellStyle="Currency">
      <totalsRowFormula>SUM(H13:H26)</totalsRowFormula>
    </tableColumn>
    <tableColumn id="4" xr3:uid="{BE71B280-2F25-4B46-99F6-DFA8132D2735}" name="Left" totalsRowFunction="sum" dataDxfId="386" totalsRowDxfId="387" dataCellStyle="Currency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E8A54271-81B3-49CF-B978-E243C0AA2ADD}" name="Bills_7" displayName="Bills_7" ref="K12:N27" totalsRowCount="1" headerRowDxfId="385" dataDxfId="384" totalsRowDxfId="383" headerRowBorderDxfId="381" tableBorderDxfId="382" totalsRowBorderDxfId="380">
  <autoFilter ref="K12:N26" xr:uid="{EB5C5F31-13A9-4CEA-9193-37475751E1DB}"/>
  <tableColumns count="4">
    <tableColumn id="1" xr3:uid="{F61ADA23-E054-42BF-A4C4-70188697063C}" name="Bill" totalsRowLabel="Total" dataDxfId="378" totalsRowDxfId="379"/>
    <tableColumn id="2" xr3:uid="{A1BF5460-52BD-44FB-81EF-CB09844DF415}" name="Due" dataDxfId="376" totalsRowDxfId="377"/>
    <tableColumn id="3" xr3:uid="{8428ED9F-66B4-463F-B620-EF057FD4E678}" name="Planned" totalsRowFunction="custom" dataDxfId="374" totalsRowDxfId="375" dataCellStyle="Currency">
      <totalsRowFormula>SUM(M13:M26)</totalsRowFormula>
    </tableColumn>
    <tableColumn id="4" xr3:uid="{CD7407D0-4401-43FC-9817-6B57675643DE}" name="Actual" totalsRowFunction="count" dataDxfId="372" totalsRowDxfId="373" dataCellStyle="Currency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4F0E7A89-B57B-4C0B-9E31-6BD137C49BF2}" name="Subscriptions_7" displayName="Subscriptions_7" ref="P12:S27" totalsRowCount="1" headerRowDxfId="371" dataDxfId="370" totalsRowDxfId="369" headerRowBorderDxfId="367" tableBorderDxfId="368" totalsRowBorderDxfId="366">
  <autoFilter ref="P12:S26" xr:uid="{0E7F0D9A-AB58-44A4-9409-811D7CF48231}"/>
  <tableColumns count="4">
    <tableColumn id="1" xr3:uid="{4FC45BFF-0939-4594-A1C8-C060ABD409F0}" name="Service" totalsRowLabel="Total" dataDxfId="364" totalsRowDxfId="365"/>
    <tableColumn id="2" xr3:uid="{217B58C3-6102-4190-8480-D6254DD998D8}" name="Due" dataDxfId="362" totalsRowDxfId="363"/>
    <tableColumn id="3" xr3:uid="{45B8A7B8-21B7-4622-B09F-4609AAFBC39D}" name="Planned" totalsRowFunction="custom" dataDxfId="360" totalsRowDxfId="361">
      <totalsRowFormula>SUM(R13:R26)</totalsRowFormula>
    </tableColumn>
    <tableColumn id="4" xr3:uid="{A270B044-63FE-4BE9-A5ED-BDBE36649E16}" name="Actual" totalsRowFunction="count" dataDxfId="358" totalsRowDxfId="35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F78E8F76-554D-4491-B572-1E759322BF20}" name="Savings_7" displayName="Savings_7" ref="U12:X27" totalsRowCount="1" headerRowDxfId="357" totalsRowDxfId="356" headerRowBorderDxfId="354" tableBorderDxfId="355" totalsRowBorderDxfId="353">
  <autoFilter ref="U12:X26" xr:uid="{B4BF81A8-B423-4B5B-B86F-3F525C6B18A9}"/>
  <tableColumns count="4">
    <tableColumn id="1" xr3:uid="{42BC611E-1F76-437B-9968-B91BEE41BD8C}" name="Aim" totalsRowLabel="Total" dataDxfId="351" totalsRowDxfId="352"/>
    <tableColumn id="2" xr3:uid="{C4263F9F-9888-4F68-B254-BBEC4C3E2098}" name="Planned" totalsRowFunction="custom" dataDxfId="349" totalsRowDxfId="350">
      <totalsRowFormula>SUM(V13:V26)</totalsRowFormula>
    </tableColumn>
    <tableColumn id="3" xr3:uid="{8948B02D-8E31-4194-A563-DCFCE6217E4C}" name="Actual" totalsRowFunction="sum" dataDxfId="347" totalsRowDxfId="348"/>
    <tableColumn id="4" xr3:uid="{6DE44769-AEFA-4DC9-A66F-999D122E400B}" name="Left" totalsRowFunction="custom" dataDxfId="345" totalsRowDxfId="346">
      <calculatedColumnFormula>Savings_7[[#This Row],[Planned]]-Savings_7[[#This Row],[Actual]]</calculatedColumnFormula>
      <totalsRowFormula>SUM(Savings_7[Left])</totalsRow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241EF470-771F-48F4-B296-0C2F9BDC608E}" name="Income_8" displayName="Income_8" ref="A12:D27" totalsRowCount="1" headerRowDxfId="344" dataDxfId="343" totalsRowDxfId="342" headerRowBorderDxfId="340" tableBorderDxfId="341" totalsRowBorderDxfId="339">
  <autoFilter ref="A12:D26" xr:uid="{93B9FDA8-428F-476D-9993-DDB17573CCE8}"/>
  <tableColumns count="4">
    <tableColumn id="1" xr3:uid="{63078E3C-47D8-417C-9C9A-B5A779BC4F5C}" name="Source" totalsRowLabel="Total" dataDxfId="337" totalsRowDxfId="338"/>
    <tableColumn id="2" xr3:uid="{89513284-A4E8-415C-BBE2-114E66A1A5BD}" name="Planned" totalsRowFunction="custom" dataDxfId="335" totalsRowDxfId="336">
      <totalsRowFormula>SUM(B13:B26)</totalsRowFormula>
    </tableColumn>
    <tableColumn id="3" xr3:uid="{96E43563-1DE0-4D99-9564-D969D5FC2BD2}" name="Actual" totalsRowFunction="custom" dataDxfId="333" totalsRowDxfId="334">
      <totalsRowFormula>SUM(Income_8[Actual])</totalsRowFormula>
    </tableColumn>
    <tableColumn id="4" xr3:uid="{90928E02-C228-407D-AC64-FA279D598467}" name="Left" totalsRowFunction="sum" dataDxfId="331" totalsRowDxfId="332"/>
  </tableColumns>
  <tableStyleInfo name="Table Style Min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DCA4CC7-424B-45E6-9BD5-67ECD34E6F0F}" name="Expenses_8" displayName="Expenses_8" ref="F12:I27" totalsRowCount="1" headerRowDxfId="330" dataDxfId="329" totalsRowDxfId="328" headerRowBorderDxfId="326" tableBorderDxfId="327" totalsRowBorderDxfId="325">
  <autoFilter ref="F12:I26" xr:uid="{24A8353D-9D5D-42AC-A175-10AA233D4CCC}"/>
  <tableColumns count="4">
    <tableColumn id="1" xr3:uid="{7EE21D4A-1C9D-4A63-9413-0EC9B73F4A8A}" name="Category" totalsRowLabel="Total" dataDxfId="323" totalsRowDxfId="324"/>
    <tableColumn id="2" xr3:uid="{9943BE94-CC53-49FB-AE71-FD382B5C9801}" name="Planned" totalsRowFunction="custom" dataDxfId="321" totalsRowDxfId="322" dataCellStyle="Currency">
      <totalsRowFormula>SUM(G13:G26)</totalsRowFormula>
    </tableColumn>
    <tableColumn id="3" xr3:uid="{55C112A0-A200-41E5-8E7E-D6D87AD6C7CE}" name="Actual" totalsRowFunction="custom" dataDxfId="319" totalsRowDxfId="320" dataCellStyle="Currency">
      <totalsRowFormula>SUM(H13:H26)</totalsRowFormula>
    </tableColumn>
    <tableColumn id="4" xr3:uid="{089DC2B7-C659-4782-A682-465C98050290}" name="Left" totalsRowFunction="sum" dataDxfId="317" totalsRowDxfId="318" dataCellStyle="Currency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25014EAD-EE0C-49F7-903E-A23EB10EB525}" name="Bills_8" displayName="Bills_8" ref="K12:N27" totalsRowCount="1" headerRowDxfId="316" dataDxfId="315" totalsRowDxfId="314" headerRowBorderDxfId="312" tableBorderDxfId="313" totalsRowBorderDxfId="311">
  <autoFilter ref="K12:N26" xr:uid="{EB5C5F31-13A9-4CEA-9193-37475751E1DB}"/>
  <tableColumns count="4">
    <tableColumn id="1" xr3:uid="{3112F359-9194-49E6-B870-70C72B1213C1}" name="Bill" totalsRowLabel="Total" dataDxfId="309" totalsRowDxfId="310"/>
    <tableColumn id="2" xr3:uid="{C22C62A5-9CEB-459E-B194-9EED684A4F45}" name="Due" dataDxfId="307" totalsRowDxfId="308"/>
    <tableColumn id="3" xr3:uid="{9F932D63-4810-46CE-8A6A-A57D4BB1057F}" name="Planned" totalsRowFunction="custom" dataDxfId="305" totalsRowDxfId="306" dataCellStyle="Currency">
      <totalsRowFormula>SUM(M13:M26)</totalsRowFormula>
    </tableColumn>
    <tableColumn id="4" xr3:uid="{5CDA7809-C7C1-4029-ABCD-6518FA635388}" name="Actual" totalsRowFunction="count" dataDxfId="303" totalsRowDxfId="304" dataCellStyle="Currency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8BE1DA20-AD26-4669-8190-1A1860ED7E0A}" name="Subscriptions_8" displayName="Subscriptions_8" ref="P12:S27" totalsRowCount="1" headerRowDxfId="302" dataDxfId="301" totalsRowDxfId="300" headerRowBorderDxfId="298" tableBorderDxfId="299" totalsRowBorderDxfId="297">
  <autoFilter ref="P12:S26" xr:uid="{0E7F0D9A-AB58-44A4-9409-811D7CF48231}"/>
  <tableColumns count="4">
    <tableColumn id="1" xr3:uid="{1B211532-672A-4312-9FDF-12CE09CE9BFD}" name="Service" totalsRowLabel="Total" dataDxfId="295" totalsRowDxfId="296"/>
    <tableColumn id="2" xr3:uid="{97FED64E-3816-45A1-A9BF-32955187C0B8}" name="Due" dataDxfId="293" totalsRowDxfId="294"/>
    <tableColumn id="3" xr3:uid="{BF08414D-DC51-4371-A557-B440C6F18CE5}" name="Planned" totalsRowFunction="custom" dataDxfId="291" totalsRowDxfId="292">
      <totalsRowFormula>SUM(R13:R26)</totalsRowFormula>
    </tableColumn>
    <tableColumn id="4" xr3:uid="{B3B81D91-015E-4A6E-BD63-C27704E8A3DD}" name="Actual" totalsRowFunction="count" dataDxfId="289" totalsRowDxfId="29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A2F7860-FAEB-49EB-B565-374114F4A45F}" name="Savings_8" displayName="Savings_8" ref="U12:X27" totalsRowCount="1" headerRowDxfId="288" totalsRowDxfId="287" headerRowBorderDxfId="285" tableBorderDxfId="286" totalsRowBorderDxfId="284">
  <autoFilter ref="U12:X26" xr:uid="{B4BF81A8-B423-4B5B-B86F-3F525C6B18A9}"/>
  <tableColumns count="4">
    <tableColumn id="1" xr3:uid="{FB6BEB90-316A-4BD1-B07D-02709D8D8EE6}" name="Aim" totalsRowLabel="Total" dataDxfId="282" totalsRowDxfId="283"/>
    <tableColumn id="2" xr3:uid="{7481492C-80B5-4BE7-AAE9-BEC663F6DD9A}" name="Planned" totalsRowFunction="custom" dataDxfId="280" totalsRowDxfId="281">
      <totalsRowFormula>SUM(V13:V26)</totalsRowFormula>
    </tableColumn>
    <tableColumn id="3" xr3:uid="{5EE15675-58D7-46C6-A2BE-363C2A15FC90}" name="Actual" totalsRowFunction="sum" dataDxfId="278" totalsRowDxfId="279"/>
    <tableColumn id="4" xr3:uid="{83553790-F6F6-47AF-BAE6-362F8F0FFCA5}" name="Left" totalsRowFunction="custom" dataDxfId="276" totalsRowDxfId="277">
      <calculatedColumnFormula>Savings_8[[#This Row],[Planned]]-Savings_8[[#This Row],[Actual]]</calculatedColumnFormula>
      <totalsRowFormula>SUM(Savings_8[Left])</totalsRow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96B31907-331A-4E11-99B3-9B63A36B5E7A}" name="Income_9" displayName="Income_9" ref="A12:D27" totalsRowCount="1" headerRowDxfId="275" dataDxfId="274" totalsRowDxfId="273" headerRowBorderDxfId="271" tableBorderDxfId="272" totalsRowBorderDxfId="270">
  <autoFilter ref="A12:D26" xr:uid="{93B9FDA8-428F-476D-9993-DDB17573CCE8}"/>
  <tableColumns count="4">
    <tableColumn id="1" xr3:uid="{30E6F2B5-A300-4A86-A725-258302A380E6}" name="Source" totalsRowLabel="Total" dataDxfId="268" totalsRowDxfId="269"/>
    <tableColumn id="2" xr3:uid="{FAE7C1AF-9D5A-48A7-A8BC-829F8F541145}" name="Planned" totalsRowFunction="custom" dataDxfId="266" totalsRowDxfId="267">
      <totalsRowFormula>SUM(B13:B26)</totalsRowFormula>
    </tableColumn>
    <tableColumn id="3" xr3:uid="{D1CF095E-E24A-4E9D-9121-B622DFE4344F}" name="Actual" totalsRowFunction="custom" dataDxfId="264" totalsRowDxfId="265">
      <totalsRowFormula>SUM(Income_9[Actual])</totalsRowFormula>
    </tableColumn>
    <tableColumn id="4" xr3:uid="{4A1667B6-BD30-40E5-B583-E7E8CCE59758}" name="Left" totalsRowFunction="sum" dataDxfId="262" totalsRowDxfId="263"/>
  </tableColumns>
  <tableStyleInfo name="Table Style Min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2ED1DFE5-574E-4FFF-91F4-7A62C3CA9A05}" name="Expenses_9" displayName="Expenses_9" ref="F12:I27" totalsRowCount="1" headerRowDxfId="261" dataDxfId="260" totalsRowDxfId="259" headerRowBorderDxfId="257" tableBorderDxfId="258" totalsRowBorderDxfId="256">
  <autoFilter ref="F12:I26" xr:uid="{24A8353D-9D5D-42AC-A175-10AA233D4CCC}"/>
  <tableColumns count="4">
    <tableColumn id="1" xr3:uid="{0511BE57-25F7-4FE6-AE1D-FC95E70C5A84}" name="Category" totalsRowLabel="Total" dataDxfId="254" totalsRowDxfId="255"/>
    <tableColumn id="2" xr3:uid="{CC0F631E-BABB-4E43-9C1E-0FC3F2EEA8B2}" name="Planned" totalsRowFunction="custom" dataDxfId="252" totalsRowDxfId="253" dataCellStyle="Currency">
      <totalsRowFormula>SUM(G13:G26)</totalsRowFormula>
    </tableColumn>
    <tableColumn id="3" xr3:uid="{6037151D-4B37-4472-96A1-DB61ACF7FB86}" name="Actual" totalsRowFunction="custom" dataDxfId="250" totalsRowDxfId="251" dataCellStyle="Currency">
      <totalsRowFormula>SUM(H13:H26)</totalsRowFormula>
    </tableColumn>
    <tableColumn id="4" xr3:uid="{B667E86D-3DA3-4F7E-B49A-8316258A3566}" name="Left" totalsRowFunction="sum" dataDxfId="248" totalsRowDxfId="249" dataCellStyle="Currency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D8B49D9-49E0-40AF-BF9F-A7DED377B06D}" name="Bills_9" displayName="Bills_9" ref="K12:N27" totalsRowCount="1" headerRowDxfId="247" dataDxfId="246" totalsRowDxfId="245" headerRowBorderDxfId="243" tableBorderDxfId="244" totalsRowBorderDxfId="242">
  <autoFilter ref="K12:N26" xr:uid="{EB5C5F31-13A9-4CEA-9193-37475751E1DB}"/>
  <tableColumns count="4">
    <tableColumn id="1" xr3:uid="{ED442C7E-BC63-4AFD-AE34-AD48160B255C}" name="Bill" totalsRowLabel="Total" dataDxfId="240" totalsRowDxfId="241"/>
    <tableColumn id="2" xr3:uid="{DF2D00C5-B0BE-41A4-9548-40992B12ABB8}" name="Due" dataDxfId="238" totalsRowDxfId="239"/>
    <tableColumn id="3" xr3:uid="{2E6D2B86-4D07-48FD-94FB-712D7EC9BF50}" name="Planned" totalsRowFunction="custom" dataDxfId="236" totalsRowDxfId="237" dataCellStyle="Currency">
      <totalsRowFormula>SUM(M13:M26)</totalsRowFormula>
    </tableColumn>
    <tableColumn id="4" xr3:uid="{CF2E0258-3524-4524-A018-29BC77CC88DB}" name="Actual" totalsRowFunction="count" dataDxfId="234" totalsRowDxfId="235" dataCellStyle="Currency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5F583484-183B-4FBD-A15A-996EA1677EED}" name="Subscriptions_9" displayName="Subscriptions_9" ref="P12:S27" totalsRowCount="1" headerRowDxfId="233" dataDxfId="232" totalsRowDxfId="231" headerRowBorderDxfId="229" tableBorderDxfId="230" totalsRowBorderDxfId="228">
  <autoFilter ref="P12:S26" xr:uid="{0E7F0D9A-AB58-44A4-9409-811D7CF48231}"/>
  <tableColumns count="4">
    <tableColumn id="1" xr3:uid="{D75E0DB2-36AD-47EB-A935-8F03C21E7CF4}" name="Service" totalsRowLabel="Total" dataDxfId="226" totalsRowDxfId="227"/>
    <tableColumn id="2" xr3:uid="{C69553B7-FEA7-4DCA-9F63-824A0961C66E}" name="Due" dataDxfId="224" totalsRowDxfId="225"/>
    <tableColumn id="3" xr3:uid="{18F47C34-B10F-4528-8037-E91DEED6A9C9}" name="Planned" totalsRowFunction="custom" dataDxfId="222" totalsRowDxfId="223">
      <totalsRowFormula>SUM(R13:R26)</totalsRowFormula>
    </tableColumn>
    <tableColumn id="4" xr3:uid="{6CE27BB4-6C5D-4CFD-886A-478E46D5E81D}" name="Actual" totalsRowFunction="count" dataDxfId="220" totalsRowDxfId="22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8958E3DE-7D34-4529-88A7-2A1B4E3D3350}" name="Savings_9" displayName="Savings_9" ref="U12:X27" totalsRowCount="1" headerRowDxfId="219" totalsRowDxfId="218" headerRowBorderDxfId="216" tableBorderDxfId="217" totalsRowBorderDxfId="215">
  <autoFilter ref="U12:X26" xr:uid="{B4BF81A8-B423-4B5B-B86F-3F525C6B18A9}"/>
  <tableColumns count="4">
    <tableColumn id="1" xr3:uid="{D9E8BBDA-3891-4232-8DD2-72D888CB785B}" name="Aim" totalsRowLabel="Total" dataDxfId="213" totalsRowDxfId="214"/>
    <tableColumn id="2" xr3:uid="{C32397F0-FCB3-485D-8CAF-B87E992117BD}" name="Planned" totalsRowFunction="custom" dataDxfId="211" totalsRowDxfId="212">
      <totalsRowFormula>SUM(V13:V26)</totalsRowFormula>
    </tableColumn>
    <tableColumn id="3" xr3:uid="{345B27B1-5D92-4FEE-80B8-9DCCCB81A513}" name="Actual" totalsRowFunction="sum" dataDxfId="209" totalsRowDxfId="210"/>
    <tableColumn id="4" xr3:uid="{3CC0BFA6-ECE0-4E8F-A400-4C77FFEDAD89}" name="Left" totalsRowFunction="custom" dataDxfId="207" totalsRowDxfId="208">
      <calculatedColumnFormula>Savings_9[[#This Row],[Planned]]-Savings_9[[#This Row],[Actual]]</calculatedColumnFormula>
      <totalsRowFormula>SUM(Savings_9[Left])</totalsRow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68A62629-3C0E-4F80-B770-9E4E92D7505D}" name="Income_10" displayName="Income_10" ref="A12:D27" totalsRowCount="1" headerRowDxfId="206" dataDxfId="205" totalsRowDxfId="204" headerRowBorderDxfId="202" tableBorderDxfId="203" totalsRowBorderDxfId="201">
  <autoFilter ref="A12:D26" xr:uid="{93B9FDA8-428F-476D-9993-DDB17573CCE8}"/>
  <tableColumns count="4">
    <tableColumn id="1" xr3:uid="{C40E5A14-B85D-434A-A86E-6B9BDB21E36C}" name="Source" totalsRowLabel="Total" dataDxfId="199" totalsRowDxfId="200"/>
    <tableColumn id="2" xr3:uid="{836E099D-D7F6-40E7-8AAE-713D90AE4812}" name="Planned" totalsRowFunction="custom" dataDxfId="197" totalsRowDxfId="198">
      <totalsRowFormula>SUM(B13:B26)</totalsRowFormula>
    </tableColumn>
    <tableColumn id="3" xr3:uid="{F9AB0F6A-8DB7-40F1-9AC1-E9E0F410026A}" name="Actual" totalsRowFunction="custom" dataDxfId="195" totalsRowDxfId="196">
      <totalsRowFormula>SUM(Income_10[Actual])</totalsRowFormula>
    </tableColumn>
    <tableColumn id="4" xr3:uid="{7A2F785A-D16E-4882-8556-E7032BF1464C}" name="Left" totalsRowFunction="sum" dataDxfId="193" totalsRowDxfId="194"/>
  </tableColumns>
  <tableStyleInfo name="Table Style Mine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E784D854-9B97-49C8-8B25-C6D1339C3818}" name="Expenses_10" displayName="Expenses_10" ref="F12:I27" totalsRowCount="1" headerRowDxfId="192" dataDxfId="191" totalsRowDxfId="190" headerRowBorderDxfId="188" tableBorderDxfId="189" totalsRowBorderDxfId="187">
  <autoFilter ref="F12:I26" xr:uid="{24A8353D-9D5D-42AC-A175-10AA233D4CCC}"/>
  <tableColumns count="4">
    <tableColumn id="1" xr3:uid="{5671CBF5-8A73-4574-BA15-CF5C1FD62D65}" name="Category" totalsRowLabel="Total" dataDxfId="185" totalsRowDxfId="186"/>
    <tableColumn id="2" xr3:uid="{419406E5-99B5-4652-9288-31E15659A485}" name="Planned" totalsRowFunction="custom" dataDxfId="183" totalsRowDxfId="184" dataCellStyle="Currency">
      <totalsRowFormula>SUM(G13:G26)</totalsRowFormula>
    </tableColumn>
    <tableColumn id="3" xr3:uid="{D412391B-458F-4390-927F-72E147276F75}" name="Actual" totalsRowFunction="custom" dataDxfId="181" totalsRowDxfId="182" dataCellStyle="Currency">
      <totalsRowFormula>SUM(H13:H26)</totalsRowFormula>
    </tableColumn>
    <tableColumn id="4" xr3:uid="{2AE3F378-D4F0-4C19-816F-1A529020497B}" name="Left" totalsRowFunction="sum" dataDxfId="179" totalsRowDxfId="180" dataCellStyle="Currency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404DA69C-FEF1-4C7A-9E60-5BF97FFC879D}" name="Bills_10" displayName="Bills_10" ref="K12:N27" totalsRowCount="1" headerRowDxfId="178" dataDxfId="177" totalsRowDxfId="176" headerRowBorderDxfId="174" tableBorderDxfId="175" totalsRowBorderDxfId="173">
  <autoFilter ref="K12:N26" xr:uid="{EB5C5F31-13A9-4CEA-9193-37475751E1DB}"/>
  <tableColumns count="4">
    <tableColumn id="1" xr3:uid="{0A0EDA2B-DEBF-4457-ACF8-6E0BC0E7BCDC}" name="Bill" totalsRowLabel="Total" dataDxfId="171" totalsRowDxfId="172"/>
    <tableColumn id="2" xr3:uid="{052F68F2-3811-4606-8AAF-936BF82C061A}" name="Due" dataDxfId="169" totalsRowDxfId="170"/>
    <tableColumn id="3" xr3:uid="{B62F73CF-F963-4094-8FD8-DE13C2ED51F5}" name="Planned" totalsRowFunction="custom" dataDxfId="167" totalsRowDxfId="168" dataCellStyle="Currency">
      <totalsRowFormula>SUM(M13:M26)</totalsRowFormula>
    </tableColumn>
    <tableColumn id="4" xr3:uid="{6DDB11CB-44C1-4DE6-AA32-D030B4030A91}" name="Actual" totalsRowFunction="count" dataDxfId="165" totalsRowDxfId="166" dataCellStyle="Currency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C380565B-9F59-4FAD-9F6D-0D4AD35779B4}" name="Subscriptions_10" displayName="Subscriptions_10" ref="P12:S27" totalsRowCount="1" headerRowDxfId="164" dataDxfId="163" totalsRowDxfId="162" headerRowBorderDxfId="160" tableBorderDxfId="161" totalsRowBorderDxfId="159">
  <autoFilter ref="P12:S26" xr:uid="{0E7F0D9A-AB58-44A4-9409-811D7CF48231}"/>
  <tableColumns count="4">
    <tableColumn id="1" xr3:uid="{B0F2DE3E-2816-4A05-B71F-8CB95E28D593}" name="Service" totalsRowLabel="Total" dataDxfId="157" totalsRowDxfId="158"/>
    <tableColumn id="2" xr3:uid="{3A0780C3-FB2F-43D8-A1AF-060CF16EA2F3}" name="Due" dataDxfId="155" totalsRowDxfId="156"/>
    <tableColumn id="3" xr3:uid="{0A65356D-06ED-4296-A1BD-418DB04C05EE}" name="Planned" totalsRowFunction="custom" dataDxfId="153" totalsRowDxfId="154">
      <totalsRowFormula>SUM(R13:R26)</totalsRowFormula>
    </tableColumn>
    <tableColumn id="4" xr3:uid="{FBDDF373-564E-448E-85DD-7A2671BCEAE4}" name="Actual" totalsRowFunction="count" dataDxfId="151" totalsRowDxfId="152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65E69D14-FF22-4175-9C82-5CD819658CEA}" name="Savings_10" displayName="Savings_10" ref="U12:X27" totalsRowCount="1" headerRowDxfId="150" totalsRowDxfId="149" headerRowBorderDxfId="147" tableBorderDxfId="148" totalsRowBorderDxfId="146">
  <autoFilter ref="U12:X26" xr:uid="{B4BF81A8-B423-4B5B-B86F-3F525C6B18A9}"/>
  <tableColumns count="4">
    <tableColumn id="1" xr3:uid="{9455B255-18DD-4C85-9BB1-DEC59AD9A2CB}" name="Aim" totalsRowLabel="Total" dataDxfId="144" totalsRowDxfId="145"/>
    <tableColumn id="2" xr3:uid="{37500F1F-A9D9-46C0-992E-91A84B1D4CA9}" name="Planned" totalsRowFunction="custom" dataDxfId="142" totalsRowDxfId="143">
      <totalsRowFormula>SUM(V13:V26)</totalsRowFormula>
    </tableColumn>
    <tableColumn id="3" xr3:uid="{E1B224F2-7471-4425-AD05-8BDC86B2F832}" name="Actual" totalsRowFunction="sum" dataDxfId="140" totalsRowDxfId="141"/>
    <tableColumn id="4" xr3:uid="{F083FF67-9820-4706-A42C-7DC18238765A}" name="Left" totalsRowFunction="custom" dataDxfId="138" totalsRowDxfId="139">
      <calculatedColumnFormula>Savings_10[[#This Row],[Planned]]-Savings_10[[#This Row],[Actual]]</calculatedColumnFormula>
      <totalsRowFormula>SUM(Savings_10[Left])</totalsRow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1946DA9-F194-40CD-977F-1B2E5EF1C066}" name="Income_11" displayName="Income_11" ref="A12:D27" totalsRowCount="1" headerRowDxfId="137" dataDxfId="136" totalsRowDxfId="135" headerRowBorderDxfId="133" tableBorderDxfId="134" totalsRowBorderDxfId="132">
  <autoFilter ref="A12:D26" xr:uid="{93B9FDA8-428F-476D-9993-DDB17573CCE8}"/>
  <tableColumns count="4">
    <tableColumn id="1" xr3:uid="{FD422F7E-E822-4F91-9238-FCD82B7F520B}" name="Source" totalsRowLabel="Total" dataDxfId="130" totalsRowDxfId="131"/>
    <tableColumn id="2" xr3:uid="{CC7C016C-5490-4EA5-B8B3-9A653E70B50B}" name="Planned" totalsRowFunction="custom" dataDxfId="128" totalsRowDxfId="129">
      <totalsRowFormula>SUM(B13:B26)</totalsRowFormula>
    </tableColumn>
    <tableColumn id="3" xr3:uid="{2CAF5C83-01BE-4D5E-BE8C-81317407717D}" name="Actual" totalsRowFunction="custom" dataDxfId="126" totalsRowDxfId="127">
      <totalsRowFormula>SUM(Income_11[Actual])</totalsRowFormula>
    </tableColumn>
    <tableColumn id="4" xr3:uid="{C2DF3AAB-AD2D-4483-8B32-5ACDFE816F25}" name="Left" totalsRowFunction="sum" dataDxfId="124" totalsRowDxfId="125"/>
  </tableColumns>
  <tableStyleInfo name="Table Style Min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FE8B609E-1EFC-438F-B0CB-C51C1941E56F}" name="Expenses_11" displayName="Expenses_11" ref="F12:I27" totalsRowCount="1" headerRowDxfId="123" dataDxfId="122" totalsRowDxfId="121" headerRowBorderDxfId="119" tableBorderDxfId="120" totalsRowBorderDxfId="118">
  <autoFilter ref="F12:I26" xr:uid="{24A8353D-9D5D-42AC-A175-10AA233D4CCC}"/>
  <tableColumns count="4">
    <tableColumn id="1" xr3:uid="{DF29BFA5-9916-419B-B243-3AFE6EEE252F}" name="Category" totalsRowLabel="Total" dataDxfId="116" totalsRowDxfId="117"/>
    <tableColumn id="2" xr3:uid="{E3372455-471F-46A6-923F-B9B95553C553}" name="Planned" totalsRowFunction="custom" dataDxfId="114" totalsRowDxfId="115" dataCellStyle="Currency">
      <totalsRowFormula>SUM(G13:G26)</totalsRowFormula>
    </tableColumn>
    <tableColumn id="3" xr3:uid="{08FF95BF-F2ED-4C55-A79B-D8387EE9FF5F}" name="Actual" totalsRowFunction="custom" dataDxfId="112" totalsRowDxfId="113" dataCellStyle="Currency">
      <totalsRowFormula>SUM(H13:H26)</totalsRowFormula>
    </tableColumn>
    <tableColumn id="4" xr3:uid="{4E1EA620-4017-4BEA-BB9B-6686B54BE0A8}" name="Left" totalsRowFunction="sum" dataDxfId="110" totalsRowDxfId="111" dataCellStyle="Currency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B5500043-A264-4974-AD04-049B1A444279}" name="Bills_11" displayName="Bills_11" ref="K12:N27" totalsRowCount="1" headerRowDxfId="109" dataDxfId="108" totalsRowDxfId="107" headerRowBorderDxfId="105" tableBorderDxfId="106" totalsRowBorderDxfId="104">
  <autoFilter ref="K12:N26" xr:uid="{EB5C5F31-13A9-4CEA-9193-37475751E1DB}"/>
  <tableColumns count="4">
    <tableColumn id="1" xr3:uid="{46D1018E-9818-4494-AA9C-852A9E9BD03F}" name="Bill" totalsRowLabel="Total" dataDxfId="102" totalsRowDxfId="103"/>
    <tableColumn id="2" xr3:uid="{AB9E6CA1-4347-4414-84CA-3B41EADE8E3B}" name="Due" dataDxfId="100" totalsRowDxfId="101"/>
    <tableColumn id="3" xr3:uid="{75C15F3D-9356-4155-930C-1E7D5C59661B}" name="Planned" totalsRowFunction="custom" dataDxfId="98" totalsRowDxfId="99" dataCellStyle="Currency">
      <totalsRowFormula>SUM(M13:M26)</totalsRowFormula>
    </tableColumn>
    <tableColumn id="4" xr3:uid="{C12533A0-0DFF-427E-A956-A27D44ECB2D0}" name="Actual" totalsRowFunction="count" dataDxfId="96" totalsRowDxfId="97" dataCellStyle="Currency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EAE46B3-EC07-4751-9FB7-AD65CE361B55}" name="Subscriptions_11" displayName="Subscriptions_11" ref="P12:S27" totalsRowCount="1" headerRowDxfId="95" dataDxfId="94" totalsRowDxfId="93" headerRowBorderDxfId="91" tableBorderDxfId="92" totalsRowBorderDxfId="90">
  <autoFilter ref="P12:S26" xr:uid="{0E7F0D9A-AB58-44A4-9409-811D7CF48231}"/>
  <tableColumns count="4">
    <tableColumn id="1" xr3:uid="{2BE58EAC-5416-4FC1-9D3D-20B25C8D2096}" name="Service" totalsRowLabel="Total" dataDxfId="88" totalsRowDxfId="89"/>
    <tableColumn id="2" xr3:uid="{C3DD731D-C7D9-40FD-8B54-5C0C4E5475C2}" name="Due" dataDxfId="86" totalsRowDxfId="87"/>
    <tableColumn id="3" xr3:uid="{5B01FCB9-C968-41CC-82F1-1A0429808FC6}" name="Planned" totalsRowFunction="custom" dataDxfId="84" totalsRowDxfId="85">
      <totalsRowFormula>SUM(R13:R26)</totalsRowFormula>
    </tableColumn>
    <tableColumn id="4" xr3:uid="{AF74E75E-BE6B-40B6-AC3A-BD3428056BC5}" name="Actual" totalsRowFunction="count" dataDxfId="82" totalsRowDxfId="83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75E22142-8C6C-47B6-AC6C-1A0F6F98EEE4}" name="Savings_11" displayName="Savings_11" ref="U12:X27" totalsRowCount="1" headerRowDxfId="81" totalsRowDxfId="80" headerRowBorderDxfId="78" tableBorderDxfId="79" totalsRowBorderDxfId="77">
  <autoFilter ref="U12:X26" xr:uid="{B4BF81A8-B423-4B5B-B86F-3F525C6B18A9}"/>
  <tableColumns count="4">
    <tableColumn id="1" xr3:uid="{238C5CC0-C055-4589-8D80-55D97E7322C4}" name="Aim" totalsRowLabel="Total" dataDxfId="75" totalsRowDxfId="76"/>
    <tableColumn id="2" xr3:uid="{F114D5E5-4493-4C67-9902-12E9399FE605}" name="Planned" totalsRowFunction="custom" dataDxfId="73" totalsRowDxfId="74">
      <totalsRowFormula>SUM(V13:V26)</totalsRowFormula>
    </tableColumn>
    <tableColumn id="3" xr3:uid="{4BBA34B9-1C01-48EC-8D78-4855C34E27F9}" name="Actual" totalsRowFunction="sum" dataDxfId="71" totalsRowDxfId="72"/>
    <tableColumn id="4" xr3:uid="{668A15AF-9688-4A7F-9203-562BD8F66893}" name="Left" totalsRowFunction="custom" dataDxfId="69" totalsRowDxfId="70">
      <calculatedColumnFormula>Savings_11[[#This Row],[Planned]]-Savings_11[[#This Row],[Actual]]</calculatedColumnFormula>
      <totalsRowFormula>SUM(Savings_11[Left])</totalsRowFormula>
    </tableColumn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AF210498-7679-45A7-982C-E7DFBA030FF5}" name="Income_12" displayName="Income_12" ref="A12:D27" totalsRowCount="1" headerRowDxfId="68" dataDxfId="67" totalsRowDxfId="66" headerRowBorderDxfId="64" tableBorderDxfId="65" totalsRowBorderDxfId="63">
  <autoFilter ref="A12:D26" xr:uid="{93B9FDA8-428F-476D-9993-DDB17573CCE8}"/>
  <tableColumns count="4">
    <tableColumn id="1" xr3:uid="{33E96E10-A116-4853-B471-B9D0C65D7555}" name="Source" totalsRowLabel="Total" dataDxfId="61" totalsRowDxfId="62"/>
    <tableColumn id="2" xr3:uid="{3F4B0563-1FD3-412E-BBCA-E339C337CF0A}" name="Planned" totalsRowFunction="custom" dataDxfId="59" totalsRowDxfId="60">
      <totalsRowFormula>SUM(B13:B26)</totalsRowFormula>
    </tableColumn>
    <tableColumn id="3" xr3:uid="{B3D2A0F9-A1CB-44DD-98FF-87206F8DDBFF}" name="Actual" totalsRowFunction="custom" dataDxfId="57" totalsRowDxfId="58">
      <totalsRowFormula>SUM(Income_12[Actual])</totalsRowFormula>
    </tableColumn>
    <tableColumn id="4" xr3:uid="{3EE853D5-04C1-4863-AB01-9258D5298A55}" name="Left" totalsRowFunction="sum" dataDxfId="55" totalsRowDxfId="56"/>
  </tableColumns>
  <tableStyleInfo name="Table Style Mine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EF85FABA-9776-481E-B371-CA21D342EBE3}" name="Expenses_12" displayName="Expenses_12" ref="F12:I27" totalsRowCount="1" headerRowDxfId="54" dataDxfId="53" totalsRowDxfId="52" headerRowBorderDxfId="50" tableBorderDxfId="51" totalsRowBorderDxfId="49">
  <autoFilter ref="F12:I26" xr:uid="{24A8353D-9D5D-42AC-A175-10AA233D4CCC}"/>
  <tableColumns count="4">
    <tableColumn id="1" xr3:uid="{B419CCE0-A642-4C2A-AC8E-D88D81E62FC6}" name="Category" totalsRowLabel="Total" dataDxfId="47" totalsRowDxfId="48"/>
    <tableColumn id="2" xr3:uid="{E3DF316D-A3DA-447A-B577-A4492F8C5416}" name="Planned" totalsRowFunction="custom" dataDxfId="45" totalsRowDxfId="46" dataCellStyle="Currency">
      <totalsRowFormula>SUM(G13:G26)</totalsRowFormula>
    </tableColumn>
    <tableColumn id="3" xr3:uid="{F7CCAA1B-4735-4C53-94B4-752F70744599}" name="Actual" totalsRowFunction="custom" dataDxfId="43" totalsRowDxfId="44" dataCellStyle="Currency">
      <totalsRowFormula>SUM(H13:H26)</totalsRowFormula>
    </tableColumn>
    <tableColumn id="4" xr3:uid="{F6EF1C4E-4327-4C6A-BB5B-555D014C27B6}" name="Left" totalsRowFunction="sum" dataDxfId="41" totalsRowDxfId="42" dataCellStyle="Currency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69F57AF-AF25-4200-8709-EB9E4A6ED53C}" name="Bills_12" displayName="Bills_12" ref="K12:N27" totalsRowCount="1" headerRowDxfId="40" dataDxfId="39" totalsRowDxfId="38" headerRowBorderDxfId="36" tableBorderDxfId="37" totalsRowBorderDxfId="35">
  <autoFilter ref="K12:N26" xr:uid="{EB5C5F31-13A9-4CEA-9193-37475751E1DB}"/>
  <tableColumns count="4">
    <tableColumn id="1" xr3:uid="{F273BE0C-9975-438C-96EF-232FE6D60E44}" name="Bill" totalsRowLabel="Total" dataDxfId="33" totalsRowDxfId="34"/>
    <tableColumn id="2" xr3:uid="{260E968E-378C-492C-ACD6-F6441A504AEA}" name="Due" dataDxfId="31" totalsRowDxfId="32"/>
    <tableColumn id="3" xr3:uid="{1505D614-015A-4E38-8A10-B4CDA7C4A3A3}" name="Planned" totalsRowFunction="custom" dataDxfId="29" totalsRowDxfId="30" dataCellStyle="Currency">
      <totalsRowFormula>SUM(M13:M26)</totalsRowFormula>
    </tableColumn>
    <tableColumn id="4" xr3:uid="{21643E14-E1A8-4209-A0B2-768C8293D5DE}" name="Actual" totalsRowFunction="count" dataDxfId="27" totalsRowDxfId="28" dataCellStyle="Currency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7B47ADBA-F2F0-4984-BD7E-589215C2997D}" name="Subscriptions_12" displayName="Subscriptions_12" ref="P12:S27" totalsRowCount="1" headerRowDxfId="26" dataDxfId="25" totalsRowDxfId="24" headerRowBorderDxfId="22" tableBorderDxfId="23" totalsRowBorderDxfId="21">
  <autoFilter ref="P12:S26" xr:uid="{0E7F0D9A-AB58-44A4-9409-811D7CF48231}"/>
  <tableColumns count="4">
    <tableColumn id="1" xr3:uid="{8CD7B94F-14DD-46DC-9752-6748E1A7A83B}" name="Service" totalsRowLabel="Total" dataDxfId="19" totalsRowDxfId="20"/>
    <tableColumn id="2" xr3:uid="{AE4C95C7-001A-4892-BE0D-A973010626ED}" name="Due" dataDxfId="17" totalsRowDxfId="18"/>
    <tableColumn id="3" xr3:uid="{BDCD53B1-D627-4452-8FF5-75815844AAAE}" name="Planned" totalsRowFunction="custom" dataDxfId="15" totalsRowDxfId="16">
      <totalsRowFormula>SUM(R13:R26)</totalsRowFormula>
    </tableColumn>
    <tableColumn id="4" xr3:uid="{335E20B7-46A4-400B-924C-4C1A27F8ADAE}" name="Actual" totalsRowFunction="count" dataDxfId="13" totalsRowDxfId="14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A1797D4-9A3C-4C5F-8B7D-08A9E06B53FB}" name="Savings_12" displayName="Savings_12" ref="U12:X27" totalsRowCount="1" headerRowDxfId="12" totalsRowDxfId="11" headerRowBorderDxfId="9" tableBorderDxfId="10" totalsRowBorderDxfId="8">
  <autoFilter ref="U12:X26" xr:uid="{B4BF81A8-B423-4B5B-B86F-3F525C6B18A9}"/>
  <tableColumns count="4">
    <tableColumn id="1" xr3:uid="{49BA96BB-28B0-49CF-9A59-C58AF2A7193B}" name="Aim" totalsRowLabel="Total" dataDxfId="6" totalsRowDxfId="7"/>
    <tableColumn id="2" xr3:uid="{9504C51F-016B-45DE-91C1-1A01694E3700}" name="Planned" totalsRowFunction="custom" dataDxfId="4" totalsRowDxfId="5">
      <totalsRowFormula>SUM(V13:V26)</totalsRowFormula>
    </tableColumn>
    <tableColumn id="3" xr3:uid="{D3FFACD6-9E73-4291-B7E0-C3BB31403BB0}" name="Actual" totalsRowFunction="sum" dataDxfId="2" totalsRowDxfId="3"/>
    <tableColumn id="4" xr3:uid="{8D0F0085-FBCB-4FB4-BB08-603609807270}" name="Left" totalsRowFunction="custom" dataDxfId="0" totalsRowDxfId="1">
      <calculatedColumnFormula>Savings_12[[#This Row],[Planned]]-Savings_12[[#This Row],[Actual]]</calculatedColumnFormula>
      <totalsRowFormula>SUM(Savings_12[Left])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Aspek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7" Type="http://schemas.openxmlformats.org/officeDocument/2006/relationships/table" Target="../tables/table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7" Type="http://schemas.openxmlformats.org/officeDocument/2006/relationships/table" Target="../tables/table5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9.xml"/><Relationship Id="rId5" Type="http://schemas.openxmlformats.org/officeDocument/2006/relationships/table" Target="../tables/table48.xml"/><Relationship Id="rId4" Type="http://schemas.openxmlformats.org/officeDocument/2006/relationships/table" Target="../tables/table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7" Type="http://schemas.openxmlformats.org/officeDocument/2006/relationships/table" Target="../tables/table5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4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7" Type="http://schemas.openxmlformats.org/officeDocument/2006/relationships/table" Target="../tables/table6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CB483-69A1-40A7-B143-580A9C6FC79C}">
  <sheetPr codeName="Sheet1"/>
  <dimension ref="A1:X27"/>
  <sheetViews>
    <sheetView tabSelected="1" zoomScaleNormal="100" workbookViewId="0">
      <selection activeCell="D9" sqref="D9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1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5655.5</v>
      </c>
      <c r="D5" s="40" cm="1">
        <f t="array" aca="1" ref="D5" ca="1">INDIRECT($A5&amp;"_"&amp;$A$2&amp;"[[#Totals],["&amp;D$4&amp;"]]")</f>
        <v>-44.5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4810</v>
      </c>
      <c r="D6" s="40" cm="1">
        <f t="array" aca="1" ref="D6" ca="1">INDIRECT($A6&amp;"_"&amp;$A$2&amp;"[[#Totals],["&amp;D$4&amp;"]]")</f>
        <v>-1015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845.5</v>
      </c>
      <c r="D9" s="40">
        <f ca="1">D5+D6+D7</f>
        <v>845.5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250</v>
      </c>
      <c r="D13" s="24">
        <f ca="1">C13-B13</f>
        <v>-2250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45667</v>
      </c>
      <c r="M13" s="3">
        <v>1500</v>
      </c>
      <c r="N13" s="10"/>
      <c r="P13" s="17" t="s">
        <v>18</v>
      </c>
      <c r="Q13" s="8">
        <f ca="1">DATE(2025,$A$2,5)</f>
        <v>45662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Savings_1[[#This Row],[Planned]]-Savings_1[[#This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105.5</v>
      </c>
      <c r="D14" s="24">
        <f t="shared" ref="D14:D18" ca="1" si="1">C14-B14</f>
        <v>-194.5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80</v>
      </c>
      <c r="I14" s="54">
        <f t="shared" ref="I14:I21" ca="1" si="2">G14-H14</f>
        <v>120</v>
      </c>
      <c r="K14" s="9" t="s">
        <v>17</v>
      </c>
      <c r="L14" s="65">
        <f ca="1">DATE(2025,$A$2,15)</f>
        <v>45672</v>
      </c>
      <c r="M14" s="3">
        <v>80</v>
      </c>
      <c r="N14" s="10"/>
      <c r="P14" s="17" t="s">
        <v>14</v>
      </c>
      <c r="Q14" s="8">
        <f ca="1">DATE(2025,$A$2,24)</f>
        <v>45681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Savings_1[[#This Row],[Planned]]-Savings_1[[#This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0</v>
      </c>
      <c r="D15" s="24">
        <f t="shared" ca="1" si="1"/>
        <v>-500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85</v>
      </c>
      <c r="I15" s="54">
        <f t="shared" ca="1" si="2"/>
        <v>215</v>
      </c>
      <c r="K15" s="9" t="s">
        <v>20</v>
      </c>
      <c r="L15" s="65">
        <f t="shared" ref="L15:L16" ca="1" si="3">DATE(2025,$A$2,10)</f>
        <v>45667</v>
      </c>
      <c r="M15" s="3">
        <v>35</v>
      </c>
      <c r="N15" s="10"/>
      <c r="P15" s="17" t="s">
        <v>36</v>
      </c>
      <c r="Q15" s="8">
        <f ca="1">DATE(2025,$A$2,2)</f>
        <v>45659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Savings_1[[#This Row],[Planned]]-Savings_1[[#This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800</v>
      </c>
      <c r="D16" s="24">
        <f t="shared" ca="1" si="1"/>
        <v>700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1715</v>
      </c>
      <c r="I16" s="54">
        <f t="shared" ca="1" si="2"/>
        <v>-965</v>
      </c>
      <c r="K16" s="9" t="s">
        <v>19</v>
      </c>
      <c r="L16" s="65">
        <f t="shared" ca="1" si="3"/>
        <v>45667</v>
      </c>
      <c r="M16" s="3">
        <v>25</v>
      </c>
      <c r="N16" s="10"/>
      <c r="P16" s="17" t="s">
        <v>21</v>
      </c>
      <c r="Q16" s="8">
        <f ca="1">DATE(2025,$A$2,21)</f>
        <v>45678</v>
      </c>
      <c r="R16" s="41">
        <v>100</v>
      </c>
      <c r="S16" s="72"/>
      <c r="U16" s="88"/>
      <c r="V16" s="89"/>
      <c r="W16" s="90"/>
      <c r="X16" s="89">
        <f>Savings_1[[#This Row],[Planned]]-Savings_1[[#This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100</v>
      </c>
      <c r="I17" s="54">
        <f t="shared" ca="1" si="2"/>
        <v>30</v>
      </c>
      <c r="K17" s="9" t="s">
        <v>22</v>
      </c>
      <c r="L17" s="65">
        <f ca="1">DATE(2025,$A$2,28)</f>
        <v>45685</v>
      </c>
      <c r="M17" s="3">
        <v>35</v>
      </c>
      <c r="N17" s="10"/>
      <c r="P17" s="17" t="s">
        <v>37</v>
      </c>
      <c r="Q17" s="8">
        <f ca="1">DATE(2025,$A$2,12)</f>
        <v>45669</v>
      </c>
      <c r="R17" s="41">
        <v>42.69</v>
      </c>
      <c r="S17" s="72"/>
      <c r="U17" s="88"/>
      <c r="V17" s="89"/>
      <c r="W17" s="90"/>
      <c r="X17" s="89">
        <f>Savings_1[[#This Row],[Planned]]-Savings_1[[#This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150</v>
      </c>
      <c r="I18" s="54">
        <f t="shared" ca="1" si="2"/>
        <v>-20</v>
      </c>
      <c r="K18" s="9" t="s">
        <v>24</v>
      </c>
      <c r="L18" s="65">
        <f ca="1">DATE(2025,$A$2,20)</f>
        <v>45677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Savings_1[[#This Row],[Planned]]-Savings_1[[#This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500</v>
      </c>
      <c r="I19" s="54">
        <f t="shared" ca="1" si="2"/>
        <v>-300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Savings_1[[#This Row],[Planned]]-Savings_1[[#This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100</v>
      </c>
      <c r="I20" s="54">
        <f t="shared" ca="1" si="2"/>
        <v>100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Savings_1[[#This Row],[Planned]]-Savings_1[[#This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80</v>
      </c>
      <c r="I21" s="54">
        <f t="shared" ca="1" si="2"/>
        <v>70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Savings_1[[#This Row],[Planned]]-Savings_1[[#This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Savings_1[[#This Row],[Planned]]-Savings_1[[#This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Savings_1[[#This Row],[Planned]]-Savings_1[[#This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Savings_1[[#This Row],[Planned]]-Savings_1[[#This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Savings_1[[#This Row],[Planned]]-Savings_1[[#This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Savings_1[[#This Row],[Planned]]-Savings_1[[#This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SUM(Income_1[Actual])</f>
        <v>5655.5</v>
      </c>
      <c r="D27" s="49">
        <f ca="1">SUBTOTAL(109,Income_1[Left])</f>
        <v>-44.5</v>
      </c>
      <c r="F27" s="57" t="s">
        <v>45</v>
      </c>
      <c r="G27" s="58">
        <f>SUM(G13:G26)</f>
        <v>3795</v>
      </c>
      <c r="H27" s="58">
        <f ca="1">SUM(H13:H26)</f>
        <v>4810</v>
      </c>
      <c r="I27" s="59">
        <f ca="1">SUBTOTAL(109,Expenses_1[Left])</f>
        <v>-1015</v>
      </c>
      <c r="K27" s="61" t="s">
        <v>45</v>
      </c>
      <c r="L27" s="62"/>
      <c r="M27" s="63">
        <f>SUM(M13:M26)</f>
        <v>1735</v>
      </c>
      <c r="N27" s="64">
        <f>SUBTOTAL(103,Bills_1[Actual])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SUBTOTAL(103,Subscriptions_1[Actual])</f>
        <v>0</v>
      </c>
      <c r="U27" s="84" t="s">
        <v>45</v>
      </c>
      <c r="V27" s="85">
        <f>SUM(V13:V26)</f>
        <v>1905</v>
      </c>
      <c r="W27" s="86">
        <f>SUBTOTAL(109,Savings_1[Actual])</f>
        <v>0</v>
      </c>
      <c r="X27" s="87">
        <f>SUM(Savings_1[Left])</f>
        <v>1905</v>
      </c>
    </row>
  </sheetData>
  <mergeCells count="7">
    <mergeCell ref="U11:X11"/>
    <mergeCell ref="P11:S11"/>
    <mergeCell ref="F11:I11"/>
    <mergeCell ref="A1:D1"/>
    <mergeCell ref="A2:D2"/>
    <mergeCell ref="A11:D11"/>
    <mergeCell ref="K11:N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FCE01-8E4B-48E6-AB6B-7C75D1967164}">
  <sheetPr codeName="Sheet2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2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6565</v>
      </c>
      <c r="D5" s="40" cm="1">
        <f t="array" aca="1" ref="D5" ca="1">INDIRECT($A5&amp;"_"&amp;$A$2&amp;"[[#Totals],["&amp;D$4&amp;"]]")</f>
        <v>865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4100.5</v>
      </c>
      <c r="D6" s="40" cm="1">
        <f t="array" aca="1" ref="D6" ca="1">INDIRECT($A6&amp;"_"&amp;$A$2&amp;"[[#Totals],["&amp;D$4&amp;"]]")</f>
        <v>-305.5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2464.5</v>
      </c>
      <c r="D9" s="40">
        <f ca="1">D5+D6+D7</f>
        <v>2464.5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45698</v>
      </c>
      <c r="M13" s="3">
        <v>1500</v>
      </c>
      <c r="N13" s="10"/>
      <c r="P13" s="17" t="s">
        <v>18</v>
      </c>
      <c r="Q13" s="8">
        <f ca="1">DATE(2025,$A$2,5)</f>
        <v>45693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Savings_2[[#This Row],[Planned]]-Savings_2[[#This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115</v>
      </c>
      <c r="D14" s="24">
        <f t="shared" ref="D14:D18" ca="1" si="1">C14-B14</f>
        <v>-185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0</v>
      </c>
      <c r="I14" s="54">
        <f t="shared" ref="I14:I21" ca="1" si="2">G14-H14</f>
        <v>200</v>
      </c>
      <c r="K14" s="9" t="s">
        <v>17</v>
      </c>
      <c r="L14" s="65">
        <f ca="1">DATE(2025,$A$2,15)</f>
        <v>45703</v>
      </c>
      <c r="M14" s="3">
        <v>80</v>
      </c>
      <c r="N14" s="10"/>
      <c r="P14" s="17" t="s">
        <v>14</v>
      </c>
      <c r="Q14" s="8">
        <f ca="1">DATE(2025,$A$2,24)</f>
        <v>45712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Savings_2[[#This Row],[Planned]]-Savings_2[[#This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0</v>
      </c>
      <c r="D15" s="24">
        <f t="shared" ca="1" si="1"/>
        <v>-500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350</v>
      </c>
      <c r="I15" s="54">
        <f t="shared" ca="1" si="2"/>
        <v>-50</v>
      </c>
      <c r="K15" s="9" t="s">
        <v>20</v>
      </c>
      <c r="L15" s="65">
        <f t="shared" ref="L15:L16" ca="1" si="3">DATE(2025,$A$2,10)</f>
        <v>45698</v>
      </c>
      <c r="M15" s="3">
        <v>35</v>
      </c>
      <c r="N15" s="10"/>
      <c r="P15" s="17" t="s">
        <v>36</v>
      </c>
      <c r="Q15" s="8">
        <f ca="1">DATE(2025,$A$2,2)</f>
        <v>45690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Savings_2[[#This Row],[Planned]]-Savings_2[[#This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1950</v>
      </c>
      <c r="D16" s="24">
        <f t="shared" ca="1" si="1"/>
        <v>1850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405.5</v>
      </c>
      <c r="I16" s="54">
        <f t="shared" ca="1" si="2"/>
        <v>344.5</v>
      </c>
      <c r="K16" s="9" t="s">
        <v>19</v>
      </c>
      <c r="L16" s="65">
        <f t="shared" ca="1" si="3"/>
        <v>45698</v>
      </c>
      <c r="M16" s="3">
        <v>25</v>
      </c>
      <c r="N16" s="10"/>
      <c r="P16" s="17" t="s">
        <v>21</v>
      </c>
      <c r="Q16" s="8">
        <f ca="1">DATE(2025,$A$2,21)</f>
        <v>45709</v>
      </c>
      <c r="R16" s="41">
        <v>100</v>
      </c>
      <c r="S16" s="72"/>
      <c r="U16" s="88"/>
      <c r="V16" s="89"/>
      <c r="W16" s="90"/>
      <c r="X16" s="89">
        <f>Savings_2[[#This Row],[Planned]]-Savings_2[[#This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250</v>
      </c>
      <c r="I17" s="54">
        <f t="shared" ca="1" si="2"/>
        <v>-120</v>
      </c>
      <c r="K17" s="9" t="s">
        <v>22</v>
      </c>
      <c r="L17" s="65">
        <f ca="1">DATE(2025,$A$2,28)</f>
        <v>45716</v>
      </c>
      <c r="M17" s="3">
        <v>35</v>
      </c>
      <c r="N17" s="10"/>
      <c r="P17" s="17" t="s">
        <v>37</v>
      </c>
      <c r="Q17" s="8">
        <f ca="1">DATE(2025,$A$2,12)</f>
        <v>45700</v>
      </c>
      <c r="R17" s="41">
        <v>42.69</v>
      </c>
      <c r="S17" s="72"/>
      <c r="U17" s="88"/>
      <c r="V17" s="89"/>
      <c r="W17" s="90"/>
      <c r="X17" s="89">
        <f>Savings_2[[#This Row],[Planned]]-Savings_2[[#This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150</v>
      </c>
      <c r="I18" s="54">
        <f t="shared" ca="1" si="2"/>
        <v>-20</v>
      </c>
      <c r="K18" s="9" t="s">
        <v>24</v>
      </c>
      <c r="L18" s="65">
        <f ca="1">DATE(2025,$A$2,20)</f>
        <v>45708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Savings_2[[#This Row],[Planned]]-Savings_2[[#This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765</v>
      </c>
      <c r="I19" s="54">
        <f t="shared" ca="1" si="2"/>
        <v>-565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Savings_2[[#This Row],[Planned]]-Savings_2[[#This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100</v>
      </c>
      <c r="I20" s="54">
        <f t="shared" ca="1" si="2"/>
        <v>100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Savings_2[[#This Row],[Planned]]-Savings_2[[#This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80</v>
      </c>
      <c r="I21" s="54">
        <f t="shared" ca="1" si="2"/>
        <v>70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Savings_2[[#This Row],[Planned]]-Savings_2[[#This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Savings_2[[#This Row],[Planned]]-Savings_2[[#This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Savings_2[[#This Row],[Planned]]-Savings_2[[#This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Savings_2[[#This Row],[Planned]]-Savings_2[[#This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Savings_2[[#This Row],[Planned]]-Savings_2[[#This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Savings_2[[#This Row],[Planned]]-Savings_2[[#This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SUM(Income_2[Actual])</f>
        <v>6565</v>
      </c>
      <c r="D27" s="49">
        <f ca="1">SUBTOTAL(109,Income_2[Left])</f>
        <v>865</v>
      </c>
      <c r="F27" s="57" t="s">
        <v>45</v>
      </c>
      <c r="G27" s="58">
        <f>SUM(G13:G26)</f>
        <v>3795</v>
      </c>
      <c r="H27" s="58">
        <f ca="1">SUM(H13:H26)</f>
        <v>4100.5</v>
      </c>
      <c r="I27" s="59">
        <f ca="1">SUBTOTAL(109,Expenses_2[Left])</f>
        <v>-305.5</v>
      </c>
      <c r="K27" s="61" t="s">
        <v>45</v>
      </c>
      <c r="L27" s="62"/>
      <c r="M27" s="63">
        <f>SUM(M13:M26)</f>
        <v>1735</v>
      </c>
      <c r="N27" s="64">
        <f>SUBTOTAL(103,Bills_2[Actual])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SUBTOTAL(103,Subscriptions_2[Actual])</f>
        <v>0</v>
      </c>
      <c r="U27" s="84" t="s">
        <v>45</v>
      </c>
      <c r="V27" s="85">
        <f>SUM(V13:V26)</f>
        <v>1905</v>
      </c>
      <c r="W27" s="86">
        <f>SUBTOTAL(109,Savings_2[Actual])</f>
        <v>0</v>
      </c>
      <c r="X27" s="87">
        <f>SUM(Savings_2[Left])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1AA28-F63E-4530-A561-DCFB8F41447C}">
  <sheetPr codeName="Sheet3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3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4655</v>
      </c>
      <c r="D5" s="40" cm="1">
        <f t="array" aca="1" ref="D5" ca="1">INDIRECT($A5&amp;"_"&amp;$A$2&amp;"[[#Totals],["&amp;D$4&amp;"]]")</f>
        <v>-1045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3899.3900000000003</v>
      </c>
      <c r="D6" s="40" cm="1">
        <f t="array" aca="1" ref="D6" ca="1">INDIRECT($A6&amp;"_"&amp;$A$2&amp;"[[#Totals],["&amp;D$4&amp;"]]")</f>
        <v>-104.38999999999999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755.60999999999967</v>
      </c>
      <c r="D9" s="40">
        <f ca="1">D5+D6+D7</f>
        <v>755.61000000000013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45726</v>
      </c>
      <c r="M13" s="3">
        <v>1500</v>
      </c>
      <c r="N13" s="10"/>
      <c r="P13" s="17" t="s">
        <v>18</v>
      </c>
      <c r="Q13" s="8">
        <f ca="1">DATE(2025,$A$2,5)</f>
        <v>45721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Savings_3[[#This Row],[Planned]]-Savings_3[[#This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150</v>
      </c>
      <c r="D14" s="24">
        <f t="shared" ref="D14:D18" ca="1" si="1">C14-B14</f>
        <v>-150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469.9</v>
      </c>
      <c r="I14" s="54">
        <f t="shared" ref="I14:I21" ca="1" si="2">G14-H14</f>
        <v>-269.89999999999998</v>
      </c>
      <c r="K14" s="9" t="s">
        <v>17</v>
      </c>
      <c r="L14" s="65">
        <f ca="1">DATE(2025,$A$2,15)</f>
        <v>45731</v>
      </c>
      <c r="M14" s="3">
        <v>80</v>
      </c>
      <c r="N14" s="10"/>
      <c r="P14" s="17" t="s">
        <v>14</v>
      </c>
      <c r="Q14" s="8">
        <f ca="1">DATE(2025,$A$2,24)</f>
        <v>45740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Savings_3[[#This Row],[Planned]]-Savings_3[[#This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5</v>
      </c>
      <c r="D15" s="24">
        <f t="shared" ca="1" si="1"/>
        <v>-495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200</v>
      </c>
      <c r="I15" s="54">
        <f t="shared" ca="1" si="2"/>
        <v>100</v>
      </c>
      <c r="K15" s="9" t="s">
        <v>20</v>
      </c>
      <c r="L15" s="65">
        <f t="shared" ref="L15:L16" ca="1" si="3">DATE(2025,$A$2,10)</f>
        <v>45726</v>
      </c>
      <c r="M15" s="3">
        <v>35</v>
      </c>
      <c r="N15" s="10"/>
      <c r="P15" s="17" t="s">
        <v>36</v>
      </c>
      <c r="Q15" s="8">
        <f ca="1">DATE(2025,$A$2,2)</f>
        <v>45718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Savings_3[[#This Row],[Planned]]-Savings_3[[#This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734.99</v>
      </c>
      <c r="I16" s="54">
        <f t="shared" ca="1" si="2"/>
        <v>15.009999999999991</v>
      </c>
      <c r="K16" s="9" t="s">
        <v>19</v>
      </c>
      <c r="L16" s="65">
        <f t="shared" ca="1" si="3"/>
        <v>45726</v>
      </c>
      <c r="M16" s="3">
        <v>25</v>
      </c>
      <c r="N16" s="10"/>
      <c r="P16" s="17" t="s">
        <v>21</v>
      </c>
      <c r="Q16" s="8">
        <f ca="1">DATE(2025,$A$2,21)</f>
        <v>45737</v>
      </c>
      <c r="R16" s="41">
        <v>100</v>
      </c>
      <c r="S16" s="72"/>
      <c r="U16" s="88"/>
      <c r="V16" s="89"/>
      <c r="W16" s="90"/>
      <c r="X16" s="89">
        <f>Savings_3[[#This Row],[Planned]]-Savings_3[[#This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9.5</v>
      </c>
      <c r="I17" s="54">
        <f t="shared" ca="1" si="2"/>
        <v>120.5</v>
      </c>
      <c r="K17" s="9" t="s">
        <v>22</v>
      </c>
      <c r="L17" s="65">
        <f ca="1">DATE(2025,$A$2,28)</f>
        <v>45744</v>
      </c>
      <c r="M17" s="3">
        <v>35</v>
      </c>
      <c r="N17" s="10"/>
      <c r="P17" s="17" t="s">
        <v>37</v>
      </c>
      <c r="Q17" s="8">
        <f ca="1">DATE(2025,$A$2,12)</f>
        <v>45728</v>
      </c>
      <c r="R17" s="41">
        <v>42.69</v>
      </c>
      <c r="S17" s="72"/>
      <c r="U17" s="88"/>
      <c r="V17" s="89"/>
      <c r="W17" s="90"/>
      <c r="X17" s="89">
        <f>Savings_3[[#This Row],[Planned]]-Savings_3[[#This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23</v>
      </c>
      <c r="I18" s="54">
        <f t="shared" ca="1" si="2"/>
        <v>107</v>
      </c>
      <c r="K18" s="9" t="s">
        <v>24</v>
      </c>
      <c r="L18" s="65">
        <f ca="1">DATE(2025,$A$2,20)</f>
        <v>45736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Savings_3[[#This Row],[Planned]]-Savings_3[[#This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300</v>
      </c>
      <c r="I19" s="54">
        <f t="shared" ca="1" si="2"/>
        <v>-100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Savings_3[[#This Row],[Planned]]-Savings_3[[#This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79.5</v>
      </c>
      <c r="I20" s="54">
        <f t="shared" ca="1" si="2"/>
        <v>120.5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Savings_3[[#This Row],[Planned]]-Savings_3[[#This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82.5</v>
      </c>
      <c r="I21" s="54">
        <f t="shared" ca="1" si="2"/>
        <v>67.5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Savings_3[[#This Row],[Planned]]-Savings_3[[#This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Savings_3[[#This Row],[Planned]]-Savings_3[[#This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Savings_3[[#This Row],[Planned]]-Savings_3[[#This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Savings_3[[#This Row],[Planned]]-Savings_3[[#This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Savings_3[[#This Row],[Planned]]-Savings_3[[#This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Savings_3[[#This Row],[Planned]]-Savings_3[[#This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SUM(Income_3[Actual])</f>
        <v>4655</v>
      </c>
      <c r="D27" s="49">
        <f ca="1">SUBTOTAL(109,Income_3[Left])</f>
        <v>-1045</v>
      </c>
      <c r="F27" s="57" t="s">
        <v>45</v>
      </c>
      <c r="G27" s="58">
        <f>SUM(G13:G26)</f>
        <v>3795</v>
      </c>
      <c r="H27" s="58">
        <f ca="1">SUM(H13:H26)</f>
        <v>3899.3900000000003</v>
      </c>
      <c r="I27" s="59">
        <f ca="1">SUBTOTAL(109,Expenses_3[Left])</f>
        <v>-104.38999999999999</v>
      </c>
      <c r="K27" s="61" t="s">
        <v>45</v>
      </c>
      <c r="L27" s="62"/>
      <c r="M27" s="63">
        <f>SUM(M13:M26)</f>
        <v>1735</v>
      </c>
      <c r="N27" s="64">
        <f>SUBTOTAL(103,Bills_3[Actual])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SUBTOTAL(103,Subscriptions_3[Actual])</f>
        <v>0</v>
      </c>
      <c r="U27" s="84" t="s">
        <v>45</v>
      </c>
      <c r="V27" s="85">
        <f>SUM(V13:V26)</f>
        <v>1905</v>
      </c>
      <c r="W27" s="86">
        <f>SUBTOTAL(109,Savings_3[Actual])</f>
        <v>0</v>
      </c>
      <c r="X27" s="87">
        <f>SUM(Savings_3[Left])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90DA2-39B1-44FD-9609-93659038E9B5}">
  <sheetPr codeName="Sheet4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4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4700</v>
      </c>
      <c r="D5" s="40" cm="1">
        <f t="array" aca="1" ref="D5" ca="1">INDIRECT($A5&amp;"_"&amp;$A$2&amp;"[[#Totals],["&amp;D$4&amp;"]]")</f>
        <v>-1000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3973.16</v>
      </c>
      <c r="D6" s="40" cm="1">
        <f t="array" aca="1" ref="D6" ca="1">INDIRECT($A6&amp;"_"&amp;$A$2&amp;"[[#Totals],["&amp;D$4&amp;"]]")</f>
        <v>-178.16000000000008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726.84000000000015</v>
      </c>
      <c r="D9" s="40">
        <f ca="1">D5+D6+D7</f>
        <v>726.83999999999992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45757</v>
      </c>
      <c r="M13" s="3">
        <v>1500</v>
      </c>
      <c r="N13" s="10"/>
      <c r="P13" s="17" t="s">
        <v>18</v>
      </c>
      <c r="Q13" s="8">
        <f ca="1">DATE(2025,$A$2,5)</f>
        <v>45752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Savings_4[[#This Row],[Planned]]-Savings_4[[#This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150</v>
      </c>
      <c r="D14" s="24">
        <f t="shared" ref="D14:D18" ca="1" si="1">C14-B14</f>
        <v>-150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149</v>
      </c>
      <c r="I14" s="54">
        <f t="shared" ref="I14:I21" ca="1" si="2">G14-H14</f>
        <v>51</v>
      </c>
      <c r="K14" s="9" t="s">
        <v>17</v>
      </c>
      <c r="L14" s="65">
        <f ca="1">DATE(2025,$A$2,15)</f>
        <v>45762</v>
      </c>
      <c r="M14" s="3">
        <v>80</v>
      </c>
      <c r="N14" s="10"/>
      <c r="P14" s="17" t="s">
        <v>14</v>
      </c>
      <c r="Q14" s="8">
        <f ca="1">DATE(2025,$A$2,24)</f>
        <v>45771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Savings_4[[#This Row],[Planned]]-Savings_4[[#This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50</v>
      </c>
      <c r="D15" s="24">
        <f t="shared" ca="1" si="1"/>
        <v>-450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1057.9000000000001</v>
      </c>
      <c r="I15" s="54">
        <f t="shared" ca="1" si="2"/>
        <v>-757.90000000000009</v>
      </c>
      <c r="K15" s="9" t="s">
        <v>20</v>
      </c>
      <c r="L15" s="65">
        <f t="shared" ref="L15:L16" ca="1" si="3">DATE(2025,$A$2,10)</f>
        <v>45757</v>
      </c>
      <c r="M15" s="3">
        <v>35</v>
      </c>
      <c r="N15" s="10"/>
      <c r="P15" s="17" t="s">
        <v>36</v>
      </c>
      <c r="Q15" s="8">
        <f ca="1">DATE(2025,$A$2,2)</f>
        <v>45749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Savings_4[[#This Row],[Planned]]-Savings_4[[#This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372.26</v>
      </c>
      <c r="I16" s="54">
        <f t="shared" ca="1" si="2"/>
        <v>377.74</v>
      </c>
      <c r="K16" s="9" t="s">
        <v>19</v>
      </c>
      <c r="L16" s="65">
        <f t="shared" ca="1" si="3"/>
        <v>45757</v>
      </c>
      <c r="M16" s="3">
        <v>25</v>
      </c>
      <c r="N16" s="10"/>
      <c r="P16" s="17" t="s">
        <v>21</v>
      </c>
      <c r="Q16" s="8">
        <f ca="1">DATE(2025,$A$2,21)</f>
        <v>45768</v>
      </c>
      <c r="R16" s="41">
        <v>100</v>
      </c>
      <c r="S16" s="72"/>
      <c r="U16" s="88"/>
      <c r="V16" s="89"/>
      <c r="W16" s="90"/>
      <c r="X16" s="89">
        <f>Savings_4[[#This Row],[Planned]]-Savings_4[[#This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23.5</v>
      </c>
      <c r="I17" s="54">
        <f t="shared" ca="1" si="2"/>
        <v>106.5</v>
      </c>
      <c r="K17" s="9" t="s">
        <v>22</v>
      </c>
      <c r="L17" s="65">
        <f ca="1">DATE(2025,$A$2,28)</f>
        <v>45775</v>
      </c>
      <c r="M17" s="3">
        <v>35</v>
      </c>
      <c r="N17" s="10"/>
      <c r="P17" s="17" t="s">
        <v>37</v>
      </c>
      <c r="Q17" s="8">
        <f ca="1">DATE(2025,$A$2,12)</f>
        <v>45759</v>
      </c>
      <c r="R17" s="41">
        <v>42.69</v>
      </c>
      <c r="S17" s="72"/>
      <c r="U17" s="88"/>
      <c r="V17" s="89"/>
      <c r="W17" s="90"/>
      <c r="X17" s="89">
        <f>Savings_4[[#This Row],[Planned]]-Savings_4[[#This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49</v>
      </c>
      <c r="I18" s="54">
        <f t="shared" ca="1" si="2"/>
        <v>81</v>
      </c>
      <c r="K18" s="9" t="s">
        <v>24</v>
      </c>
      <c r="L18" s="65">
        <f ca="1">DATE(2025,$A$2,20)</f>
        <v>45767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Savings_4[[#This Row],[Planned]]-Savings_4[[#This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100</v>
      </c>
      <c r="I19" s="54">
        <f t="shared" ca="1" si="2"/>
        <v>100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Savings_4[[#This Row],[Planned]]-Savings_4[[#This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139</v>
      </c>
      <c r="I20" s="54">
        <f t="shared" ca="1" si="2"/>
        <v>61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Savings_4[[#This Row],[Planned]]-Savings_4[[#This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82.5</v>
      </c>
      <c r="I21" s="54">
        <f t="shared" ca="1" si="2"/>
        <v>67.5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Savings_4[[#This Row],[Planned]]-Savings_4[[#This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Savings_4[[#This Row],[Planned]]-Savings_4[[#This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Savings_4[[#This Row],[Planned]]-Savings_4[[#This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Savings_4[[#This Row],[Planned]]-Savings_4[[#This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Savings_4[[#This Row],[Planned]]-Savings_4[[#This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Savings_4[[#This Row],[Planned]]-Savings_4[[#This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SUM(Income_4[Actual])</f>
        <v>4700</v>
      </c>
      <c r="D27" s="49">
        <f ca="1">SUBTOTAL(109,Income_4[Left])</f>
        <v>-1000</v>
      </c>
      <c r="F27" s="57" t="s">
        <v>45</v>
      </c>
      <c r="G27" s="58">
        <f>SUM(G13:G26)</f>
        <v>3795</v>
      </c>
      <c r="H27" s="58">
        <f ca="1">SUM(H13:H26)</f>
        <v>3973.16</v>
      </c>
      <c r="I27" s="59">
        <f ca="1">SUBTOTAL(109,Expenses_4[Left])</f>
        <v>-178.16000000000008</v>
      </c>
      <c r="K27" s="61" t="s">
        <v>45</v>
      </c>
      <c r="L27" s="62"/>
      <c r="M27" s="63">
        <f>SUM(M13:M26)</f>
        <v>1735</v>
      </c>
      <c r="N27" s="64">
        <f>SUBTOTAL(103,Bills_4[Actual])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SUBTOTAL(103,Subscriptions_4[Actual])</f>
        <v>0</v>
      </c>
      <c r="U27" s="84" t="s">
        <v>45</v>
      </c>
      <c r="V27" s="85">
        <f>SUM(V13:V26)</f>
        <v>1905</v>
      </c>
      <c r="W27" s="86">
        <f>SUBTOTAL(109,Savings_4[Actual])</f>
        <v>0</v>
      </c>
      <c r="X27" s="87">
        <f>SUM(Savings_4[Left])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1B48-E3D2-4196-A9CD-8BC7F2CA302E}">
  <sheetPr codeName="Sheet5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5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4500</v>
      </c>
      <c r="D5" s="40" cm="1">
        <f t="array" aca="1" ref="D5" ca="1">INDIRECT($A5&amp;"_"&amp;$A$2&amp;"[[#Totals],["&amp;D$4&amp;"]]")</f>
        <v>-1200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3210</v>
      </c>
      <c r="D6" s="40" cm="1">
        <f t="array" aca="1" ref="D6" ca="1">INDIRECT($A6&amp;"_"&amp;$A$2&amp;"[[#Totals],["&amp;D$4&amp;"]]")</f>
        <v>585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1290</v>
      </c>
      <c r="D9" s="40">
        <f ca="1">D5+D6+D7</f>
        <v>1290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45787</v>
      </c>
      <c r="M13" s="3">
        <v>1500</v>
      </c>
      <c r="N13" s="10"/>
      <c r="P13" s="17" t="s">
        <v>18</v>
      </c>
      <c r="Q13" s="8">
        <f ca="1">DATE(2025,$A$2,5)</f>
        <v>45782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Savings_5[[#This Row],[Planned]]-Savings_5[[#This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0</v>
      </c>
      <c r="D14" s="24">
        <f t="shared" ref="D14:D18" ca="1" si="1">C14-B14</f>
        <v>-300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0</v>
      </c>
      <c r="I14" s="54">
        <f t="shared" ref="I14:I21" ca="1" si="2">G14-H14</f>
        <v>200</v>
      </c>
      <c r="K14" s="9" t="s">
        <v>17</v>
      </c>
      <c r="L14" s="65">
        <f ca="1">DATE(2025,$A$2,15)</f>
        <v>45792</v>
      </c>
      <c r="M14" s="3">
        <v>80</v>
      </c>
      <c r="N14" s="10"/>
      <c r="P14" s="17" t="s">
        <v>14</v>
      </c>
      <c r="Q14" s="8">
        <f ca="1">DATE(2025,$A$2,24)</f>
        <v>45801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Savings_5[[#This Row],[Planned]]-Savings_5[[#This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0</v>
      </c>
      <c r="D15" s="24">
        <f t="shared" ca="1" si="1"/>
        <v>-500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80</v>
      </c>
      <c r="I15" s="54">
        <f t="shared" ca="1" si="2"/>
        <v>220</v>
      </c>
      <c r="K15" s="9" t="s">
        <v>20</v>
      </c>
      <c r="L15" s="65">
        <f t="shared" ref="L15:L16" ca="1" si="3">DATE(2025,$A$2,10)</f>
        <v>45787</v>
      </c>
      <c r="M15" s="3">
        <v>35</v>
      </c>
      <c r="N15" s="10"/>
      <c r="P15" s="17" t="s">
        <v>36</v>
      </c>
      <c r="Q15" s="8">
        <f ca="1">DATE(2025,$A$2,2)</f>
        <v>45779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Savings_5[[#This Row],[Planned]]-Savings_5[[#This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1000</v>
      </c>
      <c r="I16" s="54">
        <f t="shared" ca="1" si="2"/>
        <v>-250</v>
      </c>
      <c r="K16" s="9" t="s">
        <v>19</v>
      </c>
      <c r="L16" s="65">
        <f t="shared" ca="1" si="3"/>
        <v>45787</v>
      </c>
      <c r="M16" s="3">
        <v>25</v>
      </c>
      <c r="N16" s="10"/>
      <c r="P16" s="17" t="s">
        <v>21</v>
      </c>
      <c r="Q16" s="8">
        <f ca="1">DATE(2025,$A$2,21)</f>
        <v>45798</v>
      </c>
      <c r="R16" s="41">
        <v>100</v>
      </c>
      <c r="S16" s="72"/>
      <c r="U16" s="88"/>
      <c r="V16" s="89"/>
      <c r="W16" s="90"/>
      <c r="X16" s="89">
        <f>Savings_5[[#This Row],[Planned]]-Savings_5[[#This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0</v>
      </c>
      <c r="I17" s="54">
        <f t="shared" ca="1" si="2"/>
        <v>130</v>
      </c>
      <c r="K17" s="9" t="s">
        <v>22</v>
      </c>
      <c r="L17" s="65">
        <f ca="1">DATE(2025,$A$2,28)</f>
        <v>45805</v>
      </c>
      <c r="M17" s="3">
        <v>35</v>
      </c>
      <c r="N17" s="10"/>
      <c r="P17" s="17" t="s">
        <v>37</v>
      </c>
      <c r="Q17" s="8">
        <f ca="1">DATE(2025,$A$2,12)</f>
        <v>45789</v>
      </c>
      <c r="R17" s="41">
        <v>42.69</v>
      </c>
      <c r="S17" s="72"/>
      <c r="U17" s="88"/>
      <c r="V17" s="89"/>
      <c r="W17" s="90"/>
      <c r="X17" s="89">
        <f>Savings_5[[#This Row],[Planned]]-Savings_5[[#This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50</v>
      </c>
      <c r="I18" s="54">
        <f t="shared" ca="1" si="2"/>
        <v>80</v>
      </c>
      <c r="K18" s="9" t="s">
        <v>24</v>
      </c>
      <c r="L18" s="65">
        <f ca="1">DATE(2025,$A$2,20)</f>
        <v>45797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Savings_5[[#This Row],[Planned]]-Savings_5[[#This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0</v>
      </c>
      <c r="I19" s="54">
        <f t="shared" ca="1" si="2"/>
        <v>200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Savings_5[[#This Row],[Planned]]-Savings_5[[#This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0</v>
      </c>
      <c r="I20" s="54">
        <f t="shared" ca="1" si="2"/>
        <v>200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Savings_5[[#This Row],[Planned]]-Savings_5[[#This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80</v>
      </c>
      <c r="I21" s="54">
        <f t="shared" ca="1" si="2"/>
        <v>70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Savings_5[[#This Row],[Planned]]-Savings_5[[#This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Savings_5[[#This Row],[Planned]]-Savings_5[[#This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Savings_5[[#This Row],[Planned]]-Savings_5[[#This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Savings_5[[#This Row],[Planned]]-Savings_5[[#This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Savings_5[[#This Row],[Planned]]-Savings_5[[#This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Savings_5[[#This Row],[Planned]]-Savings_5[[#This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SUM(Income_5[Actual])</f>
        <v>4500</v>
      </c>
      <c r="D27" s="49">
        <f ca="1">SUBTOTAL(109,Income_5[Left])</f>
        <v>-1200</v>
      </c>
      <c r="F27" s="57" t="s">
        <v>45</v>
      </c>
      <c r="G27" s="58">
        <f>SUM(G13:G26)</f>
        <v>3795</v>
      </c>
      <c r="H27" s="58">
        <f ca="1">SUM(H13:H26)</f>
        <v>3210</v>
      </c>
      <c r="I27" s="59">
        <f ca="1">SUBTOTAL(109,Expenses_5[Left])</f>
        <v>585</v>
      </c>
      <c r="K27" s="61" t="s">
        <v>45</v>
      </c>
      <c r="L27" s="62"/>
      <c r="M27" s="63">
        <f>SUM(M13:M26)</f>
        <v>1735</v>
      </c>
      <c r="N27" s="64">
        <f>SUBTOTAL(103,Bills_5[Actual])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SUBTOTAL(103,Subscriptions_5[Actual])</f>
        <v>0</v>
      </c>
      <c r="U27" s="84" t="s">
        <v>45</v>
      </c>
      <c r="V27" s="85">
        <f>SUM(V13:V26)</f>
        <v>1905</v>
      </c>
      <c r="W27" s="86">
        <f>SUBTOTAL(109,Savings_5[Actual])</f>
        <v>0</v>
      </c>
      <c r="X27" s="87">
        <f>SUM(Savings_5[Left])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54B9B-FB8D-4BFB-ACD3-5BCC2ADAABCF}">
  <sheetPr codeName="Sheet6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6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4900</v>
      </c>
      <c r="D5" s="40" cm="1">
        <f t="array" aca="1" ref="D5" ca="1">INDIRECT($A5&amp;"_"&amp;$A$2&amp;"[[#Totals],["&amp;D$4&amp;"]]")</f>
        <v>-800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3730</v>
      </c>
      <c r="D6" s="40" cm="1">
        <f t="array" aca="1" ref="D6" ca="1">INDIRECT($A6&amp;"_"&amp;$A$2&amp;"[[#Totals],["&amp;D$4&amp;"]]")</f>
        <v>65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1170</v>
      </c>
      <c r="D9" s="40">
        <f ca="1">D5+D6+D7</f>
        <v>1170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400</v>
      </c>
      <c r="D13" s="24">
        <f ca="1">C13-B13</f>
        <v>-2100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45818</v>
      </c>
      <c r="M13" s="3">
        <v>1500</v>
      </c>
      <c r="N13" s="10"/>
      <c r="P13" s="17" t="s">
        <v>18</v>
      </c>
      <c r="Q13" s="8">
        <f ca="1">DATE(2025,$A$2,5)</f>
        <v>45813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Savings_6[[#This Row],[Planned]]-Savings_6[[#This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0</v>
      </c>
      <c r="D14" s="24">
        <f t="shared" ref="D14:D18" ca="1" si="1">C14-B14</f>
        <v>-300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300</v>
      </c>
      <c r="I14" s="54">
        <f t="shared" ref="I14:I21" ca="1" si="2">G14-H14</f>
        <v>-100</v>
      </c>
      <c r="K14" s="9" t="s">
        <v>17</v>
      </c>
      <c r="L14" s="65">
        <f ca="1">DATE(2025,$A$2,15)</f>
        <v>45823</v>
      </c>
      <c r="M14" s="3">
        <v>80</v>
      </c>
      <c r="N14" s="10"/>
      <c r="P14" s="17" t="s">
        <v>14</v>
      </c>
      <c r="Q14" s="8">
        <f ca="1">DATE(2025,$A$2,24)</f>
        <v>45832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Savings_6[[#This Row],[Planned]]-Savings_6[[#This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0</v>
      </c>
      <c r="D15" s="24">
        <f t="shared" ca="1" si="1"/>
        <v>-500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200</v>
      </c>
      <c r="I15" s="54">
        <f t="shared" ca="1" si="2"/>
        <v>100</v>
      </c>
      <c r="K15" s="9" t="s">
        <v>20</v>
      </c>
      <c r="L15" s="65">
        <f t="shared" ref="L15:L16" ca="1" si="3">DATE(2025,$A$2,10)</f>
        <v>45818</v>
      </c>
      <c r="M15" s="3">
        <v>35</v>
      </c>
      <c r="N15" s="10"/>
      <c r="P15" s="17" t="s">
        <v>36</v>
      </c>
      <c r="Q15" s="8">
        <f ca="1">DATE(2025,$A$2,2)</f>
        <v>45810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Savings_6[[#This Row],[Planned]]-Savings_6[[#This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1000</v>
      </c>
      <c r="I16" s="54">
        <f t="shared" ca="1" si="2"/>
        <v>-250</v>
      </c>
      <c r="K16" s="9" t="s">
        <v>19</v>
      </c>
      <c r="L16" s="65">
        <f t="shared" ca="1" si="3"/>
        <v>45818</v>
      </c>
      <c r="M16" s="3">
        <v>25</v>
      </c>
      <c r="N16" s="10"/>
      <c r="P16" s="17" t="s">
        <v>21</v>
      </c>
      <c r="Q16" s="8">
        <f ca="1">DATE(2025,$A$2,21)</f>
        <v>45829</v>
      </c>
      <c r="R16" s="41">
        <v>100</v>
      </c>
      <c r="S16" s="72"/>
      <c r="U16" s="88"/>
      <c r="V16" s="89"/>
      <c r="W16" s="90"/>
      <c r="X16" s="89">
        <f>Savings_6[[#This Row],[Planned]]-Savings_6[[#This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100</v>
      </c>
      <c r="I17" s="54">
        <f t="shared" ca="1" si="2"/>
        <v>30</v>
      </c>
      <c r="K17" s="9" t="s">
        <v>22</v>
      </c>
      <c r="L17" s="65">
        <f ca="1">DATE(2025,$A$2,28)</f>
        <v>45836</v>
      </c>
      <c r="M17" s="3">
        <v>35</v>
      </c>
      <c r="N17" s="10"/>
      <c r="P17" s="17" t="s">
        <v>37</v>
      </c>
      <c r="Q17" s="8">
        <f ca="1">DATE(2025,$A$2,12)</f>
        <v>45820</v>
      </c>
      <c r="R17" s="41">
        <v>42.69</v>
      </c>
      <c r="S17" s="72"/>
      <c r="U17" s="88"/>
      <c r="V17" s="89"/>
      <c r="W17" s="90"/>
      <c r="X17" s="89">
        <f>Savings_6[[#This Row],[Planned]]-Savings_6[[#This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50</v>
      </c>
      <c r="I18" s="54">
        <f t="shared" ca="1" si="2"/>
        <v>80</v>
      </c>
      <c r="K18" s="9" t="s">
        <v>24</v>
      </c>
      <c r="L18" s="65">
        <f ca="1">DATE(2025,$A$2,20)</f>
        <v>45828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Savings_6[[#This Row],[Planned]]-Savings_6[[#This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0</v>
      </c>
      <c r="I19" s="54">
        <f t="shared" ca="1" si="2"/>
        <v>200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Savings_6[[#This Row],[Planned]]-Savings_6[[#This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0</v>
      </c>
      <c r="I20" s="54">
        <f t="shared" ca="1" si="2"/>
        <v>200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Savings_6[[#This Row],[Planned]]-Savings_6[[#This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80</v>
      </c>
      <c r="I21" s="54">
        <f t="shared" ca="1" si="2"/>
        <v>70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Savings_6[[#This Row],[Planned]]-Savings_6[[#This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Savings_6[[#This Row],[Planned]]-Savings_6[[#This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Savings_6[[#This Row],[Planned]]-Savings_6[[#This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Savings_6[[#This Row],[Planned]]-Savings_6[[#This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Savings_6[[#This Row],[Planned]]-Savings_6[[#This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Savings_6[[#This Row],[Planned]]-Savings_6[[#This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SUM(Income_6[Actual])</f>
        <v>4900</v>
      </c>
      <c r="D27" s="49">
        <f ca="1">SUBTOTAL(109,Income_6[Left])</f>
        <v>-800</v>
      </c>
      <c r="F27" s="57" t="s">
        <v>45</v>
      </c>
      <c r="G27" s="58">
        <f>SUM(G13:G26)</f>
        <v>3795</v>
      </c>
      <c r="H27" s="58">
        <f ca="1">SUM(H13:H26)</f>
        <v>3730</v>
      </c>
      <c r="I27" s="59">
        <f ca="1">SUBTOTAL(109,Expenses_6[Left])</f>
        <v>65</v>
      </c>
      <c r="K27" s="61" t="s">
        <v>45</v>
      </c>
      <c r="L27" s="62"/>
      <c r="M27" s="63">
        <f>SUM(M13:M26)</f>
        <v>1735</v>
      </c>
      <c r="N27" s="64">
        <f>SUBTOTAL(103,Bills_6[Actual])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SUBTOTAL(103,Subscriptions_6[Actual])</f>
        <v>0</v>
      </c>
      <c r="U27" s="84" t="s">
        <v>45</v>
      </c>
      <c r="V27" s="85">
        <f>SUM(V13:V26)</f>
        <v>1905</v>
      </c>
      <c r="W27" s="86">
        <f>SUBTOTAL(109,Savings_6[Actual])</f>
        <v>0</v>
      </c>
      <c r="X27" s="87">
        <f>SUM(Savings_6[Left])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08E5A-7A66-45DE-9C17-6E47CFF4AD82}">
  <sheetPr codeName="Sheet7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7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5920</v>
      </c>
      <c r="D5" s="40" cm="1">
        <f t="array" aca="1" ref="D5" ca="1">INDIRECT($A5&amp;"_"&amp;$A$2&amp;"[[#Totals],["&amp;D$4&amp;"]]")</f>
        <v>220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3005</v>
      </c>
      <c r="D6" s="40" cm="1">
        <f t="array" aca="1" ref="D6" ca="1">INDIRECT($A6&amp;"_"&amp;$A$2&amp;"[[#Totals],["&amp;D$4&amp;"]]")</f>
        <v>790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2915</v>
      </c>
      <c r="D9" s="40">
        <f ca="1">D5+D6+D7</f>
        <v>2915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45848</v>
      </c>
      <c r="M13" s="3">
        <v>1500</v>
      </c>
      <c r="N13" s="10"/>
      <c r="P13" s="17" t="s">
        <v>18</v>
      </c>
      <c r="Q13" s="8">
        <f ca="1">DATE(2025,$A$2,5)</f>
        <v>45843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Savings_7[[#This Row],[Planned]]-Savings_7[[#This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120</v>
      </c>
      <c r="D14" s="24">
        <f t="shared" ref="D14:D18" ca="1" si="1">C14-B14</f>
        <v>-180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-250</v>
      </c>
      <c r="I14" s="54">
        <f t="shared" ref="I14:I21" ca="1" si="2">G14-H14</f>
        <v>450</v>
      </c>
      <c r="K14" s="9" t="s">
        <v>17</v>
      </c>
      <c r="L14" s="65">
        <f ca="1">DATE(2025,$A$2,15)</f>
        <v>45853</v>
      </c>
      <c r="M14" s="3">
        <v>80</v>
      </c>
      <c r="N14" s="10"/>
      <c r="P14" s="17" t="s">
        <v>14</v>
      </c>
      <c r="Q14" s="8">
        <f ca="1">DATE(2025,$A$2,24)</f>
        <v>45862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Savings_7[[#This Row],[Planned]]-Savings_7[[#This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800</v>
      </c>
      <c r="D15" s="24">
        <f t="shared" ca="1" si="1"/>
        <v>300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700</v>
      </c>
      <c r="I15" s="54">
        <f t="shared" ca="1" si="2"/>
        <v>-400</v>
      </c>
      <c r="K15" s="9" t="s">
        <v>20</v>
      </c>
      <c r="L15" s="65">
        <f t="shared" ref="L15:L16" ca="1" si="3">DATE(2025,$A$2,10)</f>
        <v>45848</v>
      </c>
      <c r="M15" s="3">
        <v>35</v>
      </c>
      <c r="N15" s="10"/>
      <c r="P15" s="17" t="s">
        <v>36</v>
      </c>
      <c r="Q15" s="8">
        <f ca="1">DATE(2025,$A$2,2)</f>
        <v>45840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Savings_7[[#This Row],[Planned]]-Savings_7[[#This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165</v>
      </c>
      <c r="I16" s="54">
        <f t="shared" ca="1" si="2"/>
        <v>585</v>
      </c>
      <c r="K16" s="9" t="s">
        <v>19</v>
      </c>
      <c r="L16" s="65">
        <f t="shared" ca="1" si="3"/>
        <v>45848</v>
      </c>
      <c r="M16" s="3">
        <v>25</v>
      </c>
      <c r="N16" s="10"/>
      <c r="P16" s="17" t="s">
        <v>21</v>
      </c>
      <c r="Q16" s="8">
        <f ca="1">DATE(2025,$A$2,21)</f>
        <v>45859</v>
      </c>
      <c r="R16" s="41">
        <v>100</v>
      </c>
      <c r="S16" s="72"/>
      <c r="U16" s="88"/>
      <c r="V16" s="89"/>
      <c r="W16" s="90"/>
      <c r="X16" s="89">
        <f>Savings_7[[#This Row],[Planned]]-Savings_7[[#This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300</v>
      </c>
      <c r="I17" s="54">
        <f t="shared" ca="1" si="2"/>
        <v>-170</v>
      </c>
      <c r="K17" s="9" t="s">
        <v>22</v>
      </c>
      <c r="L17" s="65">
        <f ca="1">DATE(2025,$A$2,28)</f>
        <v>45866</v>
      </c>
      <c r="M17" s="3">
        <v>35</v>
      </c>
      <c r="N17" s="10"/>
      <c r="P17" s="17" t="s">
        <v>37</v>
      </c>
      <c r="Q17" s="8">
        <f ca="1">DATE(2025,$A$2,12)</f>
        <v>45850</v>
      </c>
      <c r="R17" s="41">
        <v>42.69</v>
      </c>
      <c r="S17" s="72"/>
      <c r="U17" s="88"/>
      <c r="V17" s="89"/>
      <c r="W17" s="90"/>
      <c r="X17" s="89">
        <f>Savings_7[[#This Row],[Planned]]-Savings_7[[#This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500</v>
      </c>
      <c r="D18" s="24">
        <f t="shared" ca="1" si="1"/>
        <v>-300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0</v>
      </c>
      <c r="I18" s="54">
        <f t="shared" ca="1" si="2"/>
        <v>130</v>
      </c>
      <c r="K18" s="9" t="s">
        <v>24</v>
      </c>
      <c r="L18" s="65">
        <f ca="1">DATE(2025,$A$2,20)</f>
        <v>45858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Savings_7[[#This Row],[Planned]]-Savings_7[[#This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0</v>
      </c>
      <c r="I19" s="54">
        <f t="shared" ca="1" si="2"/>
        <v>200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Savings_7[[#This Row],[Planned]]-Savings_7[[#This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0</v>
      </c>
      <c r="I20" s="54">
        <f t="shared" ca="1" si="2"/>
        <v>200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Savings_7[[#This Row],[Planned]]-Savings_7[[#This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90</v>
      </c>
      <c r="I21" s="54">
        <f t="shared" ca="1" si="2"/>
        <v>60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Savings_7[[#This Row],[Planned]]-Savings_7[[#This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Savings_7[[#This Row],[Planned]]-Savings_7[[#This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Savings_7[[#This Row],[Planned]]-Savings_7[[#This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Savings_7[[#This Row],[Planned]]-Savings_7[[#This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Savings_7[[#This Row],[Planned]]-Savings_7[[#This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Savings_7[[#This Row],[Planned]]-Savings_7[[#This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SUM(Income_7[Actual])</f>
        <v>5920</v>
      </c>
      <c r="D27" s="49">
        <f ca="1">SUBTOTAL(109,Income_7[Left])</f>
        <v>220</v>
      </c>
      <c r="F27" s="57" t="s">
        <v>45</v>
      </c>
      <c r="G27" s="58">
        <f>SUM(G13:G26)</f>
        <v>3795</v>
      </c>
      <c r="H27" s="58">
        <f ca="1">SUM(H13:H26)</f>
        <v>3005</v>
      </c>
      <c r="I27" s="59">
        <f ca="1">SUBTOTAL(109,Expenses_7[Left])</f>
        <v>790</v>
      </c>
      <c r="K27" s="61" t="s">
        <v>45</v>
      </c>
      <c r="L27" s="62"/>
      <c r="M27" s="63">
        <f>SUM(M13:M26)</f>
        <v>1735</v>
      </c>
      <c r="N27" s="64">
        <f>SUBTOTAL(103,Bills_7[Actual])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SUBTOTAL(103,Subscriptions_7[Actual])</f>
        <v>0</v>
      </c>
      <c r="U27" s="84" t="s">
        <v>45</v>
      </c>
      <c r="V27" s="85">
        <f>SUM(V13:V26)</f>
        <v>1905</v>
      </c>
      <c r="W27" s="86">
        <f>SUBTOTAL(109,Savings_7[Actual])</f>
        <v>0</v>
      </c>
      <c r="X27" s="87">
        <f>SUM(Savings_7[Left])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6D0BA-C30A-471D-83FE-13D956B5711B}">
  <sheetPr codeName="Sheet8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8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5400</v>
      </c>
      <c r="D5" s="40" cm="1">
        <f t="array" aca="1" ref="D5" ca="1">INDIRECT($A5&amp;"_"&amp;$A$2&amp;"[[#Totals],["&amp;D$4&amp;"]]")</f>
        <v>-300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3989.5</v>
      </c>
      <c r="D6" s="40" cm="1">
        <f t="array" aca="1" ref="D6" ca="1">INDIRECT($A6&amp;"_"&amp;$A$2&amp;"[[#Totals],["&amp;D$4&amp;"]]")</f>
        <v>-194.5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1410.5</v>
      </c>
      <c r="D9" s="40">
        <f ca="1">D5+D6+D7</f>
        <v>1410.5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45879</v>
      </c>
      <c r="M13" s="3">
        <v>1500</v>
      </c>
      <c r="N13" s="10"/>
      <c r="P13" s="17" t="s">
        <v>18</v>
      </c>
      <c r="Q13" s="8">
        <f ca="1">DATE(2025,$A$2,5)</f>
        <v>45874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Savings_8[[#This Row],[Planned]]-Savings_8[[#This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0</v>
      </c>
      <c r="D14" s="24">
        <f t="shared" ref="D14:D18" ca="1" si="1">C14-B14</f>
        <v>-300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300</v>
      </c>
      <c r="I14" s="54">
        <f t="shared" ref="I14:I21" ca="1" si="2">G14-H14</f>
        <v>-100</v>
      </c>
      <c r="K14" s="9" t="s">
        <v>17</v>
      </c>
      <c r="L14" s="65">
        <f ca="1">DATE(2025,$A$2,15)</f>
        <v>45884</v>
      </c>
      <c r="M14" s="3">
        <v>80</v>
      </c>
      <c r="N14" s="10"/>
      <c r="P14" s="17" t="s">
        <v>14</v>
      </c>
      <c r="Q14" s="8">
        <f ca="1">DATE(2025,$A$2,24)</f>
        <v>45893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Savings_8[[#This Row],[Planned]]-Savings_8[[#This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400</v>
      </c>
      <c r="D15" s="24">
        <f t="shared" ca="1" si="1"/>
        <v>-100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250</v>
      </c>
      <c r="I15" s="54">
        <f t="shared" ca="1" si="2"/>
        <v>50</v>
      </c>
      <c r="K15" s="9" t="s">
        <v>20</v>
      </c>
      <c r="L15" s="65">
        <f t="shared" ref="L15:L16" ca="1" si="3">DATE(2025,$A$2,10)</f>
        <v>45879</v>
      </c>
      <c r="M15" s="3">
        <v>35</v>
      </c>
      <c r="N15" s="10"/>
      <c r="P15" s="17" t="s">
        <v>36</v>
      </c>
      <c r="Q15" s="8">
        <f ca="1">DATE(2025,$A$2,2)</f>
        <v>45871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Savings_8[[#This Row],[Planned]]-Savings_8[[#This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749.5</v>
      </c>
      <c r="I16" s="54">
        <f t="shared" ca="1" si="2"/>
        <v>0.5</v>
      </c>
      <c r="K16" s="9" t="s">
        <v>19</v>
      </c>
      <c r="L16" s="65">
        <f t="shared" ca="1" si="3"/>
        <v>45879</v>
      </c>
      <c r="M16" s="3">
        <v>25</v>
      </c>
      <c r="N16" s="10"/>
      <c r="P16" s="17" t="s">
        <v>21</v>
      </c>
      <c r="Q16" s="8">
        <f ca="1">DATE(2025,$A$2,21)</f>
        <v>45890</v>
      </c>
      <c r="R16" s="41">
        <v>100</v>
      </c>
      <c r="S16" s="72"/>
      <c r="U16" s="88"/>
      <c r="V16" s="89"/>
      <c r="W16" s="90"/>
      <c r="X16" s="89">
        <f>Savings_8[[#This Row],[Planned]]-Savings_8[[#This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400</v>
      </c>
      <c r="I17" s="54">
        <f t="shared" ca="1" si="2"/>
        <v>-270</v>
      </c>
      <c r="K17" s="9" t="s">
        <v>22</v>
      </c>
      <c r="L17" s="65">
        <f ca="1">DATE(2025,$A$2,28)</f>
        <v>45897</v>
      </c>
      <c r="M17" s="3">
        <v>35</v>
      </c>
      <c r="N17" s="10"/>
      <c r="P17" s="17" t="s">
        <v>37</v>
      </c>
      <c r="Q17" s="8">
        <f ca="1">DATE(2025,$A$2,12)</f>
        <v>45881</v>
      </c>
      <c r="R17" s="41">
        <v>42.69</v>
      </c>
      <c r="S17" s="72"/>
      <c r="U17" s="88"/>
      <c r="V17" s="89"/>
      <c r="W17" s="90"/>
      <c r="X17" s="89">
        <f>Savings_8[[#This Row],[Planned]]-Savings_8[[#This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500</v>
      </c>
      <c r="D18" s="24">
        <f t="shared" ca="1" si="1"/>
        <v>-300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0</v>
      </c>
      <c r="I18" s="54">
        <f t="shared" ca="1" si="2"/>
        <v>130</v>
      </c>
      <c r="K18" s="9" t="s">
        <v>24</v>
      </c>
      <c r="L18" s="65">
        <f ca="1">DATE(2025,$A$2,20)</f>
        <v>45889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Savings_8[[#This Row],[Planned]]-Savings_8[[#This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0</v>
      </c>
      <c r="I19" s="54">
        <f t="shared" ca="1" si="2"/>
        <v>200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Savings_8[[#This Row],[Planned]]-Savings_8[[#This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0</v>
      </c>
      <c r="I20" s="54">
        <f t="shared" ca="1" si="2"/>
        <v>200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Savings_8[[#This Row],[Planned]]-Savings_8[[#This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290</v>
      </c>
      <c r="I21" s="54">
        <f t="shared" ca="1" si="2"/>
        <v>-140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Savings_8[[#This Row],[Planned]]-Savings_8[[#This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Savings_8[[#This Row],[Planned]]-Savings_8[[#This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Savings_8[[#This Row],[Planned]]-Savings_8[[#This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Savings_8[[#This Row],[Planned]]-Savings_8[[#This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Savings_8[[#This Row],[Planned]]-Savings_8[[#This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Savings_8[[#This Row],[Planned]]-Savings_8[[#This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SUM(Income_8[Actual])</f>
        <v>5400</v>
      </c>
      <c r="D27" s="49">
        <f ca="1">SUBTOTAL(109,Income_8[Left])</f>
        <v>-300</v>
      </c>
      <c r="F27" s="57" t="s">
        <v>45</v>
      </c>
      <c r="G27" s="58">
        <f>SUM(G13:G26)</f>
        <v>3795</v>
      </c>
      <c r="H27" s="58">
        <f ca="1">SUM(H13:H26)</f>
        <v>3989.5</v>
      </c>
      <c r="I27" s="59">
        <f ca="1">SUBTOTAL(109,Expenses_8[Left])</f>
        <v>-194.5</v>
      </c>
      <c r="K27" s="61" t="s">
        <v>45</v>
      </c>
      <c r="L27" s="62"/>
      <c r="M27" s="63">
        <f>SUM(M13:M26)</f>
        <v>1735</v>
      </c>
      <c r="N27" s="64">
        <f>SUBTOTAL(103,Bills_8[Actual])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SUBTOTAL(103,Subscriptions_8[Actual])</f>
        <v>0</v>
      </c>
      <c r="U27" s="84" t="s">
        <v>45</v>
      </c>
      <c r="V27" s="85">
        <f>SUM(V13:V26)</f>
        <v>1905</v>
      </c>
      <c r="W27" s="86">
        <f>SUBTOTAL(109,Savings_8[Actual])</f>
        <v>0</v>
      </c>
      <c r="X27" s="87">
        <f>SUM(Savings_8[Left])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8B0B-D442-4A41-9350-34DF4C59DBE1}">
  <sheetPr codeName="Sheet9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9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4500</v>
      </c>
      <c r="D5" s="40" cm="1">
        <f t="array" aca="1" ref="D5" ca="1">INDIRECT($A5&amp;"_"&amp;$A$2&amp;"[[#Totals],["&amp;D$4&amp;"]]")</f>
        <v>-1200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2748.5</v>
      </c>
      <c r="D6" s="40" cm="1">
        <f t="array" aca="1" ref="D6" ca="1">INDIRECT($A6&amp;"_"&amp;$A$2&amp;"[[#Totals],["&amp;D$4&amp;"]]")</f>
        <v>1046.5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1751.5</v>
      </c>
      <c r="D9" s="40">
        <f ca="1">D5+D6+D7</f>
        <v>1751.5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45910</v>
      </c>
      <c r="M13" s="3">
        <v>1500</v>
      </c>
      <c r="N13" s="10"/>
      <c r="P13" s="17" t="s">
        <v>18</v>
      </c>
      <c r="Q13" s="8">
        <f ca="1">DATE(2025,$A$2,5)</f>
        <v>45905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Savings_9[[#This Row],[Planned]]-Savings_9[[#This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0</v>
      </c>
      <c r="D14" s="24">
        <f t="shared" ref="D14:D18" ca="1" si="1">C14-B14</f>
        <v>-300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0</v>
      </c>
      <c r="I14" s="54">
        <f t="shared" ref="I14:I21" ca="1" si="2">G14-H14</f>
        <v>200</v>
      </c>
      <c r="K14" s="9" t="s">
        <v>17</v>
      </c>
      <c r="L14" s="65">
        <f ca="1">DATE(2025,$A$2,15)</f>
        <v>45915</v>
      </c>
      <c r="M14" s="3">
        <v>80</v>
      </c>
      <c r="N14" s="10"/>
      <c r="P14" s="17" t="s">
        <v>14</v>
      </c>
      <c r="Q14" s="8">
        <f ca="1">DATE(2025,$A$2,24)</f>
        <v>45924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Savings_9[[#This Row],[Planned]]-Savings_9[[#This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0</v>
      </c>
      <c r="D15" s="24">
        <f t="shared" ca="1" si="1"/>
        <v>-500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20</v>
      </c>
      <c r="I15" s="54">
        <f t="shared" ca="1" si="2"/>
        <v>280</v>
      </c>
      <c r="K15" s="9" t="s">
        <v>20</v>
      </c>
      <c r="L15" s="65">
        <f t="shared" ref="L15:L16" ca="1" si="3">DATE(2025,$A$2,10)</f>
        <v>45910</v>
      </c>
      <c r="M15" s="3">
        <v>35</v>
      </c>
      <c r="N15" s="10"/>
      <c r="P15" s="17" t="s">
        <v>36</v>
      </c>
      <c r="Q15" s="8">
        <f ca="1">DATE(2025,$A$2,2)</f>
        <v>45902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Savings_9[[#This Row],[Planned]]-Savings_9[[#This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538.5</v>
      </c>
      <c r="I16" s="54">
        <f t="shared" ca="1" si="2"/>
        <v>211.5</v>
      </c>
      <c r="K16" s="9" t="s">
        <v>19</v>
      </c>
      <c r="L16" s="65">
        <f t="shared" ca="1" si="3"/>
        <v>45910</v>
      </c>
      <c r="M16" s="3">
        <v>25</v>
      </c>
      <c r="N16" s="10"/>
      <c r="P16" s="17" t="s">
        <v>21</v>
      </c>
      <c r="Q16" s="8">
        <f ca="1">DATE(2025,$A$2,21)</f>
        <v>45921</v>
      </c>
      <c r="R16" s="41">
        <v>100</v>
      </c>
      <c r="S16" s="72"/>
      <c r="U16" s="88"/>
      <c r="V16" s="89"/>
      <c r="W16" s="90"/>
      <c r="X16" s="89">
        <f>Savings_9[[#This Row],[Planned]]-Savings_9[[#This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0</v>
      </c>
      <c r="I17" s="54">
        <f t="shared" ca="1" si="2"/>
        <v>130</v>
      </c>
      <c r="K17" s="9" t="s">
        <v>22</v>
      </c>
      <c r="L17" s="65">
        <f ca="1">DATE(2025,$A$2,28)</f>
        <v>45928</v>
      </c>
      <c r="M17" s="3">
        <v>35</v>
      </c>
      <c r="N17" s="10"/>
      <c r="P17" s="17" t="s">
        <v>37</v>
      </c>
      <c r="Q17" s="8">
        <f ca="1">DATE(2025,$A$2,12)</f>
        <v>45912</v>
      </c>
      <c r="R17" s="41">
        <v>42.69</v>
      </c>
      <c r="S17" s="72"/>
      <c r="U17" s="88"/>
      <c r="V17" s="89"/>
      <c r="W17" s="90"/>
      <c r="X17" s="89">
        <f>Savings_9[[#This Row],[Planned]]-Savings_9[[#This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40</v>
      </c>
      <c r="I18" s="54">
        <f t="shared" ca="1" si="2"/>
        <v>90</v>
      </c>
      <c r="K18" s="9" t="s">
        <v>24</v>
      </c>
      <c r="L18" s="65">
        <f ca="1">DATE(2025,$A$2,20)</f>
        <v>45920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Savings_9[[#This Row],[Planned]]-Savings_9[[#This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0</v>
      </c>
      <c r="I19" s="54">
        <f t="shared" ca="1" si="2"/>
        <v>200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Savings_9[[#This Row],[Planned]]-Savings_9[[#This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0</v>
      </c>
      <c r="I20" s="54">
        <f t="shared" ca="1" si="2"/>
        <v>200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Savings_9[[#This Row],[Planned]]-Savings_9[[#This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150</v>
      </c>
      <c r="I21" s="54">
        <f t="shared" ca="1" si="2"/>
        <v>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Savings_9[[#This Row],[Planned]]-Savings_9[[#This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Savings_9[[#This Row],[Planned]]-Savings_9[[#This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Savings_9[[#This Row],[Planned]]-Savings_9[[#This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Savings_9[[#This Row],[Planned]]-Savings_9[[#This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Savings_9[[#This Row],[Planned]]-Savings_9[[#This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Savings_9[[#This Row],[Planned]]-Savings_9[[#This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SUM(Income_9[Actual])</f>
        <v>4500</v>
      </c>
      <c r="D27" s="49">
        <f ca="1">SUBTOTAL(109,Income_9[Left])</f>
        <v>-1200</v>
      </c>
      <c r="F27" s="57" t="s">
        <v>45</v>
      </c>
      <c r="G27" s="58">
        <f>SUM(G13:G26)</f>
        <v>3795</v>
      </c>
      <c r="H27" s="58">
        <f ca="1">SUM(H13:H26)</f>
        <v>2748.5</v>
      </c>
      <c r="I27" s="59">
        <f ca="1">SUBTOTAL(109,Expenses_9[Left])</f>
        <v>1046.5</v>
      </c>
      <c r="K27" s="61" t="s">
        <v>45</v>
      </c>
      <c r="L27" s="62"/>
      <c r="M27" s="63">
        <f>SUM(M13:M26)</f>
        <v>1735</v>
      </c>
      <c r="N27" s="64">
        <f>SUBTOTAL(103,Bills_9[Actual])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SUBTOTAL(103,Subscriptions_9[Actual])</f>
        <v>0</v>
      </c>
      <c r="U27" s="84" t="s">
        <v>45</v>
      </c>
      <c r="V27" s="85">
        <f>SUM(V13:V26)</f>
        <v>1905</v>
      </c>
      <c r="W27" s="86">
        <f>SUBTOTAL(109,Savings_9[Actual])</f>
        <v>0</v>
      </c>
      <c r="X27" s="87">
        <f>SUM(Savings_9[Left])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89B78-227A-42C1-8016-66F53744B11B}">
  <sheetPr codeName="Sheet10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10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4500</v>
      </c>
      <c r="D5" s="40" cm="1">
        <f t="array" aca="1" ref="D5" ca="1">INDIRECT($A5&amp;"_"&amp;$A$2&amp;"[[#Totals],["&amp;D$4&amp;"]]")</f>
        <v>-1200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2830</v>
      </c>
      <c r="D6" s="40" cm="1">
        <f t="array" aca="1" ref="D6" ca="1">INDIRECT($A6&amp;"_"&amp;$A$2&amp;"[[#Totals],["&amp;D$4&amp;"]]")</f>
        <v>965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1670</v>
      </c>
      <c r="D9" s="40">
        <f ca="1">D5+D6+D7</f>
        <v>1670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45940</v>
      </c>
      <c r="M13" s="3">
        <v>1500</v>
      </c>
      <c r="N13" s="10"/>
      <c r="P13" s="17" t="s">
        <v>18</v>
      </c>
      <c r="Q13" s="8">
        <f ca="1">DATE(2025,$A$2,5)</f>
        <v>45935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Savings_10[[#This Row],[Planned]]-Savings_10[[#This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0</v>
      </c>
      <c r="D14" s="24">
        <f t="shared" ref="D14:D18" ca="1" si="1">C14-B14</f>
        <v>-300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0</v>
      </c>
      <c r="I14" s="54">
        <f t="shared" ref="I14:I21" ca="1" si="2">G14-H14</f>
        <v>200</v>
      </c>
      <c r="K14" s="9" t="s">
        <v>17</v>
      </c>
      <c r="L14" s="65">
        <f ca="1">DATE(2025,$A$2,15)</f>
        <v>45945</v>
      </c>
      <c r="M14" s="3">
        <v>80</v>
      </c>
      <c r="N14" s="10"/>
      <c r="P14" s="17" t="s">
        <v>14</v>
      </c>
      <c r="Q14" s="8">
        <f ca="1">DATE(2025,$A$2,24)</f>
        <v>45954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Savings_10[[#This Row],[Planned]]-Savings_10[[#This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0</v>
      </c>
      <c r="D15" s="24">
        <f t="shared" ca="1" si="1"/>
        <v>-500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40</v>
      </c>
      <c r="I15" s="54">
        <f t="shared" ca="1" si="2"/>
        <v>260</v>
      </c>
      <c r="K15" s="9" t="s">
        <v>20</v>
      </c>
      <c r="L15" s="65">
        <f t="shared" ref="L15:L16" ca="1" si="3">DATE(2025,$A$2,10)</f>
        <v>45940</v>
      </c>
      <c r="M15" s="3">
        <v>35</v>
      </c>
      <c r="N15" s="10"/>
      <c r="P15" s="17" t="s">
        <v>36</v>
      </c>
      <c r="Q15" s="8">
        <f ca="1">DATE(2025,$A$2,2)</f>
        <v>45932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Savings_10[[#This Row],[Planned]]-Savings_10[[#This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600</v>
      </c>
      <c r="I16" s="54">
        <f t="shared" ca="1" si="2"/>
        <v>150</v>
      </c>
      <c r="K16" s="9" t="s">
        <v>19</v>
      </c>
      <c r="L16" s="65">
        <f t="shared" ca="1" si="3"/>
        <v>45940</v>
      </c>
      <c r="M16" s="3">
        <v>25</v>
      </c>
      <c r="N16" s="10"/>
      <c r="P16" s="17" t="s">
        <v>21</v>
      </c>
      <c r="Q16" s="8">
        <f ca="1">DATE(2025,$A$2,21)</f>
        <v>45951</v>
      </c>
      <c r="R16" s="41">
        <v>100</v>
      </c>
      <c r="S16" s="72"/>
      <c r="U16" s="88"/>
      <c r="V16" s="89"/>
      <c r="W16" s="90"/>
      <c r="X16" s="89">
        <f>Savings_10[[#This Row],[Planned]]-Savings_10[[#This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0</v>
      </c>
      <c r="I17" s="54">
        <f t="shared" ca="1" si="2"/>
        <v>130</v>
      </c>
      <c r="K17" s="9" t="s">
        <v>22</v>
      </c>
      <c r="L17" s="65">
        <f ca="1">DATE(2025,$A$2,28)</f>
        <v>45958</v>
      </c>
      <c r="M17" s="3">
        <v>35</v>
      </c>
      <c r="N17" s="10"/>
      <c r="P17" s="17" t="s">
        <v>37</v>
      </c>
      <c r="Q17" s="8">
        <f ca="1">DATE(2025,$A$2,12)</f>
        <v>45942</v>
      </c>
      <c r="R17" s="41">
        <v>42.69</v>
      </c>
      <c r="S17" s="72"/>
      <c r="U17" s="88"/>
      <c r="V17" s="89"/>
      <c r="W17" s="90"/>
      <c r="X17" s="89">
        <f>Savings_10[[#This Row],[Planned]]-Savings_10[[#This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40</v>
      </c>
      <c r="I18" s="54">
        <f t="shared" ca="1" si="2"/>
        <v>90</v>
      </c>
      <c r="K18" s="9" t="s">
        <v>24</v>
      </c>
      <c r="L18" s="65">
        <f ca="1">DATE(2025,$A$2,20)</f>
        <v>45950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Savings_10[[#This Row],[Planned]]-Savings_10[[#This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0</v>
      </c>
      <c r="I19" s="54">
        <f t="shared" ca="1" si="2"/>
        <v>200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Savings_10[[#This Row],[Planned]]-Savings_10[[#This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0</v>
      </c>
      <c r="I20" s="54">
        <f t="shared" ca="1" si="2"/>
        <v>200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Savings_10[[#This Row],[Planned]]-Savings_10[[#This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150</v>
      </c>
      <c r="I21" s="54">
        <f t="shared" ca="1" si="2"/>
        <v>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Savings_10[[#This Row],[Planned]]-Savings_10[[#This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Savings_10[[#This Row],[Planned]]-Savings_10[[#This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Savings_10[[#This Row],[Planned]]-Savings_10[[#This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Savings_10[[#This Row],[Planned]]-Savings_10[[#This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Savings_10[[#This Row],[Planned]]-Savings_10[[#This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Savings_10[[#This Row],[Planned]]-Savings_10[[#This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SUM(Income_10[Actual])</f>
        <v>4500</v>
      </c>
      <c r="D27" s="49">
        <f ca="1">SUBTOTAL(109,Income_10[Left])</f>
        <v>-1200</v>
      </c>
      <c r="F27" s="57" t="s">
        <v>45</v>
      </c>
      <c r="G27" s="58">
        <f>SUM(G13:G26)</f>
        <v>3795</v>
      </c>
      <c r="H27" s="58">
        <f ca="1">SUM(H13:H26)</f>
        <v>2830</v>
      </c>
      <c r="I27" s="59">
        <f ca="1">SUBTOTAL(109,Expenses_10[Left])</f>
        <v>965</v>
      </c>
      <c r="K27" s="61" t="s">
        <v>45</v>
      </c>
      <c r="L27" s="62"/>
      <c r="M27" s="63">
        <f>SUM(M13:M26)</f>
        <v>1735</v>
      </c>
      <c r="N27" s="64">
        <f>SUBTOTAL(103,Bills_10[Actual])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SUBTOTAL(103,Subscriptions_10[Actual])</f>
        <v>0</v>
      </c>
      <c r="U27" s="84" t="s">
        <v>45</v>
      </c>
      <c r="V27" s="85">
        <f>SUM(V13:V26)</f>
        <v>1905</v>
      </c>
      <c r="W27" s="86">
        <f>SUBTOTAL(109,Savings_10[Actual])</f>
        <v>0</v>
      </c>
      <c r="X27" s="87">
        <f>SUM(Savings_10[Left])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A7B30-928B-4959-9525-2E0CB1D49CB7}">
  <sheetPr codeName="Sheet11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11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4900</v>
      </c>
      <c r="D5" s="40" cm="1">
        <f t="array" aca="1" ref="D5" ca="1">INDIRECT($A5&amp;"_"&amp;$A$2&amp;"[[#Totals],["&amp;D$4&amp;"]]")</f>
        <v>-800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3500</v>
      </c>
      <c r="D6" s="40" cm="1">
        <f t="array" aca="1" ref="D6" ca="1">INDIRECT($A6&amp;"_"&amp;$A$2&amp;"[[#Totals],["&amp;D$4&amp;"]]")</f>
        <v>295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1400</v>
      </c>
      <c r="D9" s="40">
        <f ca="1">D5+D6+D7</f>
        <v>1400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45971</v>
      </c>
      <c r="M13" s="3">
        <v>1500</v>
      </c>
      <c r="N13" s="10"/>
      <c r="P13" s="17" t="s">
        <v>18</v>
      </c>
      <c r="Q13" s="8">
        <f ca="1">DATE(2025,$A$2,5)</f>
        <v>45966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Savings_11[[#This Row],[Planned]]-Savings_11[[#This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0</v>
      </c>
      <c r="D14" s="24">
        <f t="shared" ref="D14:D18" ca="1" si="1">C14-B14</f>
        <v>-300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158</v>
      </c>
      <c r="I14" s="54">
        <f t="shared" ref="I14:I21" ca="1" si="2">G14-H14</f>
        <v>42</v>
      </c>
      <c r="K14" s="9" t="s">
        <v>17</v>
      </c>
      <c r="L14" s="65">
        <f ca="1">DATE(2025,$A$2,15)</f>
        <v>45976</v>
      </c>
      <c r="M14" s="3">
        <v>80</v>
      </c>
      <c r="N14" s="10"/>
      <c r="P14" s="17" t="s">
        <v>14</v>
      </c>
      <c r="Q14" s="8">
        <f ca="1">DATE(2025,$A$2,24)</f>
        <v>45985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Savings_11[[#This Row],[Planned]]-Savings_11[[#This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400</v>
      </c>
      <c r="D15" s="24">
        <f t="shared" ca="1" si="1"/>
        <v>-100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214</v>
      </c>
      <c r="I15" s="54">
        <f t="shared" ca="1" si="2"/>
        <v>86</v>
      </c>
      <c r="K15" s="9" t="s">
        <v>20</v>
      </c>
      <c r="L15" s="65">
        <f t="shared" ref="L15:L16" ca="1" si="3">DATE(2025,$A$2,10)</f>
        <v>45971</v>
      </c>
      <c r="M15" s="3">
        <v>35</v>
      </c>
      <c r="N15" s="10"/>
      <c r="P15" s="17" t="s">
        <v>36</v>
      </c>
      <c r="Q15" s="8">
        <f ca="1">DATE(2025,$A$2,2)</f>
        <v>45963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Savings_11[[#This Row],[Planned]]-Savings_11[[#This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506</v>
      </c>
      <c r="I16" s="54">
        <f t="shared" ca="1" si="2"/>
        <v>244</v>
      </c>
      <c r="K16" s="9" t="s">
        <v>19</v>
      </c>
      <c r="L16" s="65">
        <f t="shared" ca="1" si="3"/>
        <v>45971</v>
      </c>
      <c r="M16" s="3">
        <v>25</v>
      </c>
      <c r="N16" s="10"/>
      <c r="P16" s="17" t="s">
        <v>21</v>
      </c>
      <c r="Q16" s="8">
        <f ca="1">DATE(2025,$A$2,21)</f>
        <v>45982</v>
      </c>
      <c r="R16" s="41">
        <v>100</v>
      </c>
      <c r="S16" s="72"/>
      <c r="U16" s="88"/>
      <c r="V16" s="89"/>
      <c r="W16" s="90"/>
      <c r="X16" s="89">
        <f>Savings_11[[#This Row],[Planned]]-Savings_11[[#This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133</v>
      </c>
      <c r="I17" s="54">
        <f t="shared" ca="1" si="2"/>
        <v>-3</v>
      </c>
      <c r="K17" s="9" t="s">
        <v>22</v>
      </c>
      <c r="L17" s="65">
        <f ca="1">DATE(2025,$A$2,28)</f>
        <v>45989</v>
      </c>
      <c r="M17" s="3">
        <v>35</v>
      </c>
      <c r="N17" s="10"/>
      <c r="P17" s="17" t="s">
        <v>37</v>
      </c>
      <c r="Q17" s="8">
        <f ca="1">DATE(2025,$A$2,12)</f>
        <v>45973</v>
      </c>
      <c r="R17" s="41">
        <v>42.69</v>
      </c>
      <c r="S17" s="72"/>
      <c r="U17" s="88"/>
      <c r="V17" s="89"/>
      <c r="W17" s="90"/>
      <c r="X17" s="89">
        <f>Savings_11[[#This Row],[Planned]]-Savings_11[[#This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47</v>
      </c>
      <c r="I18" s="54">
        <f t="shared" ca="1" si="2"/>
        <v>83</v>
      </c>
      <c r="K18" s="9" t="s">
        <v>24</v>
      </c>
      <c r="L18" s="65">
        <f ca="1">DATE(2025,$A$2,20)</f>
        <v>45981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Savings_11[[#This Row],[Planned]]-Savings_11[[#This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234</v>
      </c>
      <c r="I19" s="54">
        <f t="shared" ca="1" si="2"/>
        <v>-34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Savings_11[[#This Row],[Planned]]-Savings_11[[#This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0</v>
      </c>
      <c r="I20" s="54">
        <f t="shared" ca="1" si="2"/>
        <v>200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Savings_11[[#This Row],[Planned]]-Savings_11[[#This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208</v>
      </c>
      <c r="I21" s="54">
        <f t="shared" ca="1" si="2"/>
        <v>-58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Savings_11[[#This Row],[Planned]]-Savings_11[[#This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Savings_11[[#This Row],[Planned]]-Savings_11[[#This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Savings_11[[#This Row],[Planned]]-Savings_11[[#This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Savings_11[[#This Row],[Planned]]-Savings_11[[#This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Savings_11[[#This Row],[Planned]]-Savings_11[[#This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Savings_11[[#This Row],[Planned]]-Savings_11[[#This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SUM(Income_11[Actual])</f>
        <v>4900</v>
      </c>
      <c r="D27" s="49">
        <f ca="1">SUBTOTAL(109,Income_11[Left])</f>
        <v>-800</v>
      </c>
      <c r="F27" s="57" t="s">
        <v>45</v>
      </c>
      <c r="G27" s="58">
        <f>SUM(G13:G26)</f>
        <v>3795</v>
      </c>
      <c r="H27" s="58">
        <f ca="1">SUM(H13:H26)</f>
        <v>3500</v>
      </c>
      <c r="I27" s="59">
        <f ca="1">SUBTOTAL(109,Expenses_11[Left])</f>
        <v>295</v>
      </c>
      <c r="K27" s="61" t="s">
        <v>45</v>
      </c>
      <c r="L27" s="62"/>
      <c r="M27" s="63">
        <f>SUM(M13:M26)</f>
        <v>1735</v>
      </c>
      <c r="N27" s="64">
        <f>SUBTOTAL(103,Bills_11[Actual])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SUBTOTAL(103,Subscriptions_11[Actual])</f>
        <v>0</v>
      </c>
      <c r="U27" s="84" t="s">
        <v>45</v>
      </c>
      <c r="V27" s="85">
        <f>SUM(V13:V26)</f>
        <v>1905</v>
      </c>
      <c r="W27" s="86">
        <f>SUBTOTAL(109,Savings_11[Actual])</f>
        <v>0</v>
      </c>
      <c r="X27" s="87">
        <f>SUM(Savings_11[Left])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64254-62EC-4FE5-8DEE-173913364076}">
  <sheetPr codeName="Sheet12"/>
  <dimension ref="A1:X27"/>
  <sheetViews>
    <sheetView zoomScaleNormal="100" workbookViewId="0">
      <selection activeCell="B4" sqref="B4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33" t="s">
        <v>25</v>
      </c>
      <c r="B1" s="34"/>
      <c r="C1" s="34"/>
      <c r="D1" s="34"/>
      <c r="E1" s="6"/>
    </row>
    <row r="2" spans="1:24" x14ac:dyDescent="0.4">
      <c r="A2" s="35" t="str" cm="1">
        <f t="array" aca="1" ref="A2" ca="1">RIGHT(CELL("filename",A1),LEN(CELL("filename",A1))-FIND("]",CELL("filename",A1)))</f>
        <v>12</v>
      </c>
      <c r="B2" s="36"/>
      <c r="C2" s="36"/>
      <c r="D2" s="36"/>
    </row>
    <row r="4" spans="1:24" x14ac:dyDescent="0.4">
      <c r="B4" s="38" t="s">
        <v>6</v>
      </c>
      <c r="C4" s="38" t="s">
        <v>7</v>
      </c>
      <c r="D4" s="38" t="s">
        <v>26</v>
      </c>
      <c r="E4" s="7"/>
    </row>
    <row r="5" spans="1:24" x14ac:dyDescent="0.4">
      <c r="A5" s="39" t="s">
        <v>46</v>
      </c>
      <c r="B5" s="40" cm="1">
        <f t="array" aca="1" ref="B5" ca="1">INDIRECT($A5&amp;"_"&amp;$A$2&amp;"[[#Totals],["&amp;B$4&amp;"]]")</f>
        <v>5700</v>
      </c>
      <c r="C5" s="40" cm="1">
        <f t="array" aca="1" ref="C5" ca="1">INDIRECT($A5&amp;"_"&amp;$A$2&amp;"[[#Totals],["&amp;C$4&amp;"]]")</f>
        <v>6500</v>
      </c>
      <c r="D5" s="40" cm="1">
        <f t="array" aca="1" ref="D5" ca="1">INDIRECT($A5&amp;"_"&amp;$A$2&amp;"[[#Totals],["&amp;D$4&amp;"]]")</f>
        <v>800</v>
      </c>
      <c r="E5" s="7"/>
    </row>
    <row r="6" spans="1:24" x14ac:dyDescent="0.4">
      <c r="A6" s="39" t="s">
        <v>1</v>
      </c>
      <c r="B6" s="40" cm="1">
        <f t="array" aca="1" ref="B6" ca="1">INDIRECT($A6&amp;"_"&amp;$A$2&amp;"[[#Totals],["&amp;B$4&amp;"]]")</f>
        <v>3795</v>
      </c>
      <c r="C6" s="40" cm="1">
        <f t="array" aca="1" ref="C6" ca="1">INDIRECT($A6&amp;"_"&amp;$A$2&amp;"[[#Totals],["&amp;C$4&amp;"]]")</f>
        <v>4080</v>
      </c>
      <c r="D6" s="40" cm="1">
        <f t="array" aca="1" ref="D6" ca="1">INDIRECT($A6&amp;"_"&amp;$A$2&amp;"[[#Totals],["&amp;D$4&amp;"]]")</f>
        <v>-285</v>
      </c>
      <c r="E6" s="7"/>
    </row>
    <row r="7" spans="1:24" x14ac:dyDescent="0.4">
      <c r="A7" s="39" t="s">
        <v>4</v>
      </c>
      <c r="B7" s="40" cm="1">
        <f t="array" aca="1" ref="B7" ca="1">INDIRECT($A7&amp;"_"&amp;$A$2&amp;"[[#Totals],["&amp;B$4&amp;"]]")</f>
        <v>1905</v>
      </c>
      <c r="C7" s="40" cm="1">
        <f t="array" aca="1" ref="C7" ca="1">INDIRECT($A7&amp;"_"&amp;$A$2&amp;"[[#Totals],["&amp;C$4&amp;"]]")</f>
        <v>0</v>
      </c>
      <c r="D7" s="40" cm="1">
        <f t="array" aca="1" ref="D7" ca="1">INDIRECT($A7&amp;"_"&amp;$A$2&amp;"[[#Totals],["&amp;D$4&amp;"]]")</f>
        <v>1905</v>
      </c>
      <c r="E7" s="7"/>
    </row>
    <row r="9" spans="1:24" x14ac:dyDescent="0.4">
      <c r="A9" s="38" t="s">
        <v>27</v>
      </c>
      <c r="B9" s="40">
        <f ca="1">B5-B6-B7</f>
        <v>0</v>
      </c>
      <c r="C9" s="40">
        <f t="shared" ref="C9" ca="1" si="0">C5-C6-C7</f>
        <v>2420</v>
      </c>
      <c r="D9" s="40">
        <f ca="1">D5+D6+D7</f>
        <v>2420</v>
      </c>
      <c r="E9" s="7"/>
    </row>
    <row r="11" spans="1:24" x14ac:dyDescent="0.4">
      <c r="A11" s="42" t="s">
        <v>0</v>
      </c>
      <c r="B11" s="43"/>
      <c r="C11" s="43"/>
      <c r="D11" s="43"/>
      <c r="F11" s="50" t="s">
        <v>1</v>
      </c>
      <c r="G11" s="51"/>
      <c r="H11" s="51"/>
      <c r="I11" s="52"/>
      <c r="K11" s="60" t="s">
        <v>2</v>
      </c>
      <c r="L11" s="60"/>
      <c r="M11" s="60"/>
      <c r="N11" s="60"/>
      <c r="P11" s="37" t="s">
        <v>3</v>
      </c>
      <c r="Q11" s="37"/>
      <c r="R11" s="37"/>
      <c r="S11" s="37"/>
      <c r="U11" s="75" t="s">
        <v>4</v>
      </c>
      <c r="V11" s="76"/>
      <c r="W11" s="76"/>
      <c r="X11" s="76"/>
    </row>
    <row r="12" spans="1:24" ht="22.5" x14ac:dyDescent="0.45">
      <c r="A12" s="44" t="s">
        <v>5</v>
      </c>
      <c r="B12" s="45" t="s">
        <v>6</v>
      </c>
      <c r="C12" s="45" t="s">
        <v>7</v>
      </c>
      <c r="D12" s="46" t="s">
        <v>26</v>
      </c>
      <c r="F12" s="29" t="s">
        <v>8</v>
      </c>
      <c r="G12" s="30" t="s">
        <v>6</v>
      </c>
      <c r="H12" s="30" t="s">
        <v>7</v>
      </c>
      <c r="I12" s="31" t="s">
        <v>26</v>
      </c>
      <c r="K12" s="11" t="s">
        <v>9</v>
      </c>
      <c r="L12" s="12" t="s">
        <v>44</v>
      </c>
      <c r="M12" s="12" t="s">
        <v>6</v>
      </c>
      <c r="N12" s="13" t="s">
        <v>7</v>
      </c>
      <c r="P12" s="18" t="s">
        <v>10</v>
      </c>
      <c r="Q12" s="19" t="s">
        <v>44</v>
      </c>
      <c r="R12" s="19" t="s">
        <v>6</v>
      </c>
      <c r="S12" s="20" t="s">
        <v>7</v>
      </c>
      <c r="U12" s="77" t="s">
        <v>11</v>
      </c>
      <c r="V12" s="78" t="s">
        <v>6</v>
      </c>
      <c r="W12" s="79" t="s">
        <v>7</v>
      </c>
      <c r="X12" s="78" t="s">
        <v>26</v>
      </c>
    </row>
    <row r="13" spans="1:24" x14ac:dyDescent="0.4">
      <c r="A13" s="23" t="s">
        <v>12</v>
      </c>
      <c r="B13" s="4">
        <v>2500</v>
      </c>
      <c r="C13" s="4" cm="1">
        <f t="array" aca="1" ref="C13" ca="1">_xlfn.XLOOKUP(A13,INDIRECT("'Finanse 8.12.xlsx'!incomes_"&amp;$A$2&amp;"[Category]"),INDIRECT("'Finanse 8.12.xlsx'!incomes_"&amp;$A$2&amp;"[Total]"),0,0,1)</f>
        <v>0</v>
      </c>
      <c r="D13" s="24">
        <f ca="1">C13-B13</f>
        <v>-2500</v>
      </c>
      <c r="F13" s="28" t="s">
        <v>41</v>
      </c>
      <c r="G13" s="53">
        <v>1735</v>
      </c>
      <c r="H13" s="53" cm="1">
        <f t="array" aca="1" ref="H13" ca="1">-_xlfn.XLOOKUP(F13,INDIRECT("'Finanse 8.12.xlsx'!expenses_"&amp;$A$2&amp;"[Category]"),INDIRECT("'Finanse 8.12.xlsx'!expenses_"&amp;$A$2&amp;"[Total]"),0,0,1)</f>
        <v>2000</v>
      </c>
      <c r="I13" s="54">
        <f ca="1">G13-H13</f>
        <v>-265</v>
      </c>
      <c r="K13" s="9" t="s">
        <v>13</v>
      </c>
      <c r="L13" s="65">
        <f ca="1">DATE(2025,$A$2,10)</f>
        <v>46001</v>
      </c>
      <c r="M13" s="3">
        <v>1500</v>
      </c>
      <c r="N13" s="10"/>
      <c r="P13" s="17" t="s">
        <v>18</v>
      </c>
      <c r="Q13" s="8">
        <f ca="1">DATE(2025,$A$2,5)</f>
        <v>45996</v>
      </c>
      <c r="R13" s="41">
        <v>12.99</v>
      </c>
      <c r="S13" s="72"/>
      <c r="U13" s="88" t="s">
        <v>38</v>
      </c>
      <c r="V13" s="89">
        <v>500</v>
      </c>
      <c r="W13" s="90"/>
      <c r="X13" s="89">
        <f>Savings_12[[#This Row],[Planned]]-Savings_12[[#This Row],[Actual]]</f>
        <v>500</v>
      </c>
    </row>
    <row r="14" spans="1:24" x14ac:dyDescent="0.4">
      <c r="A14" s="23" t="s">
        <v>28</v>
      </c>
      <c r="B14" s="4">
        <v>300</v>
      </c>
      <c r="C14" s="4" cm="1">
        <f t="array" aca="1" ref="C14" ca="1">_xlfn.XLOOKUP(A14,INDIRECT("'Finanse 8.12.xlsx'!incomes_"&amp;$A$2&amp;"[Category]"),INDIRECT("'Finanse 8.12.xlsx'!incomes_"&amp;$A$2&amp;"[Total]"),0,0,1)</f>
        <v>0</v>
      </c>
      <c r="D14" s="24">
        <f t="shared" ref="D14:D18" ca="1" si="1">C14-B14</f>
        <v>-300</v>
      </c>
      <c r="F14" s="28" t="s">
        <v>31</v>
      </c>
      <c r="G14" s="53">
        <v>200</v>
      </c>
      <c r="H14" s="53" cm="1">
        <f t="array" aca="1" ref="H14" ca="1">-_xlfn.XLOOKUP(F14,INDIRECT("'Finanse 8.12.xlsx'!expenses_"&amp;$A$2&amp;"[Category]"),INDIRECT("'Finanse 8.12.xlsx'!expenses_"&amp;$A$2&amp;"[Total]"),0,0,1)</f>
        <v>120</v>
      </c>
      <c r="I14" s="54">
        <f t="shared" ref="I14:I21" ca="1" si="2">G14-H14</f>
        <v>80</v>
      </c>
      <c r="K14" s="9" t="s">
        <v>17</v>
      </c>
      <c r="L14" s="65">
        <f ca="1">DATE(2025,$A$2,15)</f>
        <v>46006</v>
      </c>
      <c r="M14" s="3">
        <v>80</v>
      </c>
      <c r="N14" s="10"/>
      <c r="P14" s="17" t="s">
        <v>14</v>
      </c>
      <c r="Q14" s="8">
        <f ca="1">DATE(2025,$A$2,24)</f>
        <v>46015</v>
      </c>
      <c r="R14" s="41">
        <v>33</v>
      </c>
      <c r="S14" s="72"/>
      <c r="U14" s="88" t="s">
        <v>39</v>
      </c>
      <c r="V14" s="89">
        <v>800</v>
      </c>
      <c r="W14" s="90"/>
      <c r="X14" s="89">
        <f>Savings_12[[#This Row],[Planned]]-Savings_12[[#This Row],[Actual]]</f>
        <v>800</v>
      </c>
    </row>
    <row r="15" spans="1:24" x14ac:dyDescent="0.4">
      <c r="A15" s="23" t="s">
        <v>29</v>
      </c>
      <c r="B15" s="4">
        <v>500</v>
      </c>
      <c r="C15" s="4" cm="1">
        <f t="array" aca="1" ref="C15" ca="1">_xlfn.XLOOKUP(A15,INDIRECT("'Finanse 8.12.xlsx'!incomes_"&amp;$A$2&amp;"[Category]"),INDIRECT("'Finanse 8.12.xlsx'!incomes_"&amp;$A$2&amp;"[Total]"),0,0,1)</f>
        <v>2000</v>
      </c>
      <c r="D15" s="24">
        <f t="shared" ca="1" si="1"/>
        <v>1500</v>
      </c>
      <c r="F15" s="28" t="s">
        <v>23</v>
      </c>
      <c r="G15" s="53">
        <v>300</v>
      </c>
      <c r="H15" s="53" cm="1">
        <f t="array" aca="1" ref="H15" ca="1">-_xlfn.XLOOKUP(F15,INDIRECT("'Finanse 8.12.xlsx'!expenses_"&amp;$A$2&amp;"[Category]"),INDIRECT("'Finanse 8.12.xlsx'!expenses_"&amp;$A$2&amp;"[Total]"),0,0,1)</f>
        <v>450</v>
      </c>
      <c r="I15" s="54">
        <f t="shared" ca="1" si="2"/>
        <v>-150</v>
      </c>
      <c r="K15" s="9" t="s">
        <v>20</v>
      </c>
      <c r="L15" s="65">
        <f t="shared" ref="L15:L16" ca="1" si="3">DATE(2025,$A$2,10)</f>
        <v>46001</v>
      </c>
      <c r="M15" s="3">
        <v>35</v>
      </c>
      <c r="N15" s="10"/>
      <c r="P15" s="17" t="s">
        <v>36</v>
      </c>
      <c r="Q15" s="8">
        <f ca="1">DATE(2025,$A$2,2)</f>
        <v>45993</v>
      </c>
      <c r="R15" s="41">
        <v>22.99</v>
      </c>
      <c r="S15" s="72"/>
      <c r="U15" s="88" t="s">
        <v>43</v>
      </c>
      <c r="V15" s="90">
        <v>605</v>
      </c>
      <c r="W15" s="90"/>
      <c r="X15" s="89">
        <f>Savings_12[[#This Row],[Planned]]-Savings_12[[#This Row],[Actual]]</f>
        <v>605</v>
      </c>
    </row>
    <row r="16" spans="1:24" x14ac:dyDescent="0.4">
      <c r="A16" s="23" t="s">
        <v>40</v>
      </c>
      <c r="B16" s="4">
        <v>100</v>
      </c>
      <c r="C16" s="4" cm="1">
        <f t="array" aca="1" ref="C16" ca="1">_xlfn.XLOOKUP(A16,INDIRECT("'Finanse 8.12.xlsx'!incomes_"&amp;$A$2&amp;"[Category]"),INDIRECT("'Finanse 8.12.xlsx'!incomes_"&amp;$A$2&amp;"[Total]"),0,0,1)</f>
        <v>0</v>
      </c>
      <c r="D16" s="24">
        <f t="shared" ca="1" si="1"/>
        <v>-100</v>
      </c>
      <c r="F16" s="28" t="s">
        <v>16</v>
      </c>
      <c r="G16" s="53">
        <v>750</v>
      </c>
      <c r="H16" s="53" cm="1">
        <f t="array" aca="1" ref="H16" ca="1">-_xlfn.XLOOKUP(F16,INDIRECT("'Finanse 8.12.xlsx'!expenses_"&amp;$A$2&amp;"[Category]"),INDIRECT("'Finanse 8.12.xlsx'!expenses_"&amp;$A$2&amp;"[Total]"),0,0,1)</f>
        <v>700</v>
      </c>
      <c r="I16" s="54">
        <f t="shared" ca="1" si="2"/>
        <v>50</v>
      </c>
      <c r="K16" s="9" t="s">
        <v>19</v>
      </c>
      <c r="L16" s="65">
        <f t="shared" ca="1" si="3"/>
        <v>46001</v>
      </c>
      <c r="M16" s="3">
        <v>25</v>
      </c>
      <c r="N16" s="10"/>
      <c r="P16" s="17" t="s">
        <v>21</v>
      </c>
      <c r="Q16" s="8">
        <f ca="1">DATE(2025,$A$2,21)</f>
        <v>46012</v>
      </c>
      <c r="R16" s="41">
        <v>100</v>
      </c>
      <c r="S16" s="72"/>
      <c r="U16" s="88"/>
      <c r="V16" s="89"/>
      <c r="W16" s="90"/>
      <c r="X16" s="89">
        <f>Savings_12[[#This Row],[Planned]]-Savings_12[[#This Row],[Actual]]</f>
        <v>0</v>
      </c>
    </row>
    <row r="17" spans="1:24" x14ac:dyDescent="0.4">
      <c r="A17" s="23" t="s">
        <v>30</v>
      </c>
      <c r="B17" s="4">
        <v>1500</v>
      </c>
      <c r="C17" s="4" cm="1">
        <f t="array" aca="1" ref="C17" ca="1">_xlfn.XLOOKUP(A17,INDIRECT("'Finanse 8.12.xlsx'!incomes_"&amp;$A$2&amp;"[Category]"),INDIRECT("'Finanse 8.12.xlsx'!incomes_"&amp;$A$2&amp;"[Total]"),0,0,1)</f>
        <v>4500</v>
      </c>
      <c r="D17" s="24">
        <f t="shared" ca="1" si="1"/>
        <v>3000</v>
      </c>
      <c r="F17" s="28" t="s">
        <v>32</v>
      </c>
      <c r="G17" s="53">
        <v>130</v>
      </c>
      <c r="H17" s="53" cm="1">
        <f t="array" aca="1" ref="H17" ca="1">-_xlfn.XLOOKUP(F17,INDIRECT("'Finanse 8.12.xlsx'!expenses_"&amp;$A$2&amp;"[Category]"),INDIRECT("'Finanse 8.12.xlsx'!expenses_"&amp;$A$2&amp;"[Total]"),0,0,1)</f>
        <v>10</v>
      </c>
      <c r="I17" s="54">
        <f t="shared" ca="1" si="2"/>
        <v>120</v>
      </c>
      <c r="K17" s="9" t="s">
        <v>22</v>
      </c>
      <c r="L17" s="65">
        <f ca="1">DATE(2025,$A$2,28)</f>
        <v>46019</v>
      </c>
      <c r="M17" s="3">
        <v>35</v>
      </c>
      <c r="N17" s="10"/>
      <c r="P17" s="17" t="s">
        <v>37</v>
      </c>
      <c r="Q17" s="8">
        <f ca="1">DATE(2025,$A$2,12)</f>
        <v>46003</v>
      </c>
      <c r="R17" s="41">
        <v>42.69</v>
      </c>
      <c r="S17" s="72"/>
      <c r="U17" s="88"/>
      <c r="V17" s="89"/>
      <c r="W17" s="90"/>
      <c r="X17" s="89">
        <f>Savings_12[[#This Row],[Planned]]-Savings_12[[#This Row],[Actual]]</f>
        <v>0</v>
      </c>
    </row>
    <row r="18" spans="1:24" x14ac:dyDescent="0.4">
      <c r="A18" s="23" t="s">
        <v>15</v>
      </c>
      <c r="B18" s="4">
        <v>800</v>
      </c>
      <c r="C18" s="4" cm="1">
        <f t="array" aca="1" ref="C18" ca="1">_xlfn.XLOOKUP(A18,INDIRECT("'Finanse 8.12.xlsx'!incomes_"&amp;$A$2&amp;"[Category]"),INDIRECT("'Finanse 8.12.xlsx'!incomes_"&amp;$A$2&amp;"[Total]"),0,0,1)</f>
        <v>0</v>
      </c>
      <c r="D18" s="24">
        <f t="shared" ca="1" si="1"/>
        <v>-800</v>
      </c>
      <c r="F18" s="28" t="s">
        <v>33</v>
      </c>
      <c r="G18" s="53">
        <v>130</v>
      </c>
      <c r="H18" s="53" cm="1">
        <f t="array" aca="1" ref="H18" ca="1">-_xlfn.XLOOKUP(F18,INDIRECT("'Finanse 8.12.xlsx'!expenses_"&amp;$A$2&amp;"[Category]"),INDIRECT("'Finanse 8.12.xlsx'!expenses_"&amp;$A$2&amp;"[Total]"),0,0,1)</f>
        <v>0</v>
      </c>
      <c r="I18" s="54">
        <f t="shared" ca="1" si="2"/>
        <v>130</v>
      </c>
      <c r="K18" s="9" t="s">
        <v>24</v>
      </c>
      <c r="L18" s="65">
        <f ca="1">DATE(2025,$A$2,20)</f>
        <v>46011</v>
      </c>
      <c r="M18" s="3">
        <v>60</v>
      </c>
      <c r="N18" s="10"/>
      <c r="P18" s="17"/>
      <c r="Q18" s="2"/>
      <c r="R18" s="41"/>
      <c r="S18" s="72"/>
      <c r="U18" s="88"/>
      <c r="V18" s="89"/>
      <c r="W18" s="90"/>
      <c r="X18" s="89">
        <f>Savings_12[[#This Row],[Planned]]-Savings_12[[#This Row],[Actual]]</f>
        <v>0</v>
      </c>
    </row>
    <row r="19" spans="1:24" x14ac:dyDescent="0.4">
      <c r="A19" s="23"/>
      <c r="B19" s="4"/>
      <c r="C19" s="4"/>
      <c r="D19" s="24"/>
      <c r="E19" s="5"/>
      <c r="F19" s="28" t="s">
        <v>42</v>
      </c>
      <c r="G19" s="53">
        <v>200</v>
      </c>
      <c r="H19" s="53" cm="1">
        <f t="array" aca="1" ref="H19" ca="1">-_xlfn.XLOOKUP(F19,INDIRECT("'Finanse 8.12.xlsx'!expenses_"&amp;$A$2&amp;"[Category]"),INDIRECT("'Finanse 8.12.xlsx'!expenses_"&amp;$A$2&amp;"[Total]"),0,0,1)</f>
        <v>700</v>
      </c>
      <c r="I19" s="54">
        <f t="shared" ca="1" si="2"/>
        <v>-500</v>
      </c>
      <c r="K19" s="9"/>
      <c r="L19" s="66"/>
      <c r="M19" s="3"/>
      <c r="N19" s="10"/>
      <c r="P19" s="17"/>
      <c r="Q19" s="2"/>
      <c r="R19" s="41"/>
      <c r="S19" s="72"/>
      <c r="U19" s="88"/>
      <c r="V19" s="89"/>
      <c r="W19" s="90"/>
      <c r="X19" s="89">
        <f>Savings_12[[#This Row],[Planned]]-Savings_12[[#This Row],[Actual]]</f>
        <v>0</v>
      </c>
    </row>
    <row r="20" spans="1:24" x14ac:dyDescent="0.4">
      <c r="A20" s="23"/>
      <c r="B20" s="4"/>
      <c r="C20" s="4"/>
      <c r="D20" s="24"/>
      <c r="F20" s="28" t="s">
        <v>34</v>
      </c>
      <c r="G20" s="53">
        <v>200</v>
      </c>
      <c r="H20" s="53" cm="1">
        <f t="array" aca="1" ref="H20" ca="1">-_xlfn.XLOOKUP(F20,INDIRECT("'Finanse 8.12.xlsx'!expenses_"&amp;$A$2&amp;"[Category]"),INDIRECT("'Finanse 8.12.xlsx'!expenses_"&amp;$A$2&amp;"[Total]"),0,0,1)</f>
        <v>100</v>
      </c>
      <c r="I20" s="54">
        <f t="shared" ca="1" si="2"/>
        <v>100</v>
      </c>
      <c r="K20" s="9"/>
      <c r="L20" s="66"/>
      <c r="M20" s="3"/>
      <c r="N20" s="10"/>
      <c r="P20" s="17"/>
      <c r="Q20" s="2"/>
      <c r="R20" s="41"/>
      <c r="S20" s="72"/>
      <c r="U20" s="88"/>
      <c r="V20" s="89"/>
      <c r="W20" s="90"/>
      <c r="X20" s="89">
        <f>Savings_12[[#This Row],[Planned]]-Savings_12[[#This Row],[Actual]]</f>
        <v>0</v>
      </c>
    </row>
    <row r="21" spans="1:24" x14ac:dyDescent="0.4">
      <c r="A21" s="23"/>
      <c r="B21" s="4"/>
      <c r="C21" s="4"/>
      <c r="D21" s="24"/>
      <c r="F21" s="28" t="s">
        <v>35</v>
      </c>
      <c r="G21" s="53">
        <v>150</v>
      </c>
      <c r="H21" s="53" cm="1">
        <f t="array" aca="1" ref="H21" ca="1">-_xlfn.XLOOKUP(F21,INDIRECT("'Finanse 8.12.xlsx'!expenses_"&amp;$A$2&amp;"[Category]"),INDIRECT("'Finanse 8.12.xlsx'!expenses_"&amp;$A$2&amp;"[Total]"),0,0,1)</f>
        <v>0</v>
      </c>
      <c r="I21" s="54">
        <f t="shared" ca="1" si="2"/>
        <v>150</v>
      </c>
      <c r="K21" s="9"/>
      <c r="L21" s="66"/>
      <c r="M21" s="3"/>
      <c r="N21" s="10"/>
      <c r="P21" s="17"/>
      <c r="Q21" s="2"/>
      <c r="R21" s="41"/>
      <c r="S21" s="72"/>
      <c r="U21" s="88"/>
      <c r="V21" s="89"/>
      <c r="W21" s="90"/>
      <c r="X21" s="89">
        <f>Savings_12[[#This Row],[Planned]]-Savings_12[[#This Row],[Actual]]</f>
        <v>0</v>
      </c>
    </row>
    <row r="22" spans="1:24" x14ac:dyDescent="0.4">
      <c r="A22" s="23"/>
      <c r="B22" s="4"/>
      <c r="C22" s="4"/>
      <c r="D22" s="24"/>
      <c r="F22" s="28"/>
      <c r="G22" s="53"/>
      <c r="H22" s="53"/>
      <c r="I22" s="54"/>
      <c r="K22" s="9"/>
      <c r="L22" s="66"/>
      <c r="M22" s="3"/>
      <c r="N22" s="10"/>
      <c r="P22" s="17"/>
      <c r="Q22" s="2"/>
      <c r="R22" s="41"/>
      <c r="S22" s="72"/>
      <c r="U22" s="88"/>
      <c r="V22" s="89"/>
      <c r="W22" s="90"/>
      <c r="X22" s="89">
        <f>Savings_12[[#This Row],[Planned]]-Savings_12[[#This Row],[Actual]]</f>
        <v>0</v>
      </c>
    </row>
    <row r="23" spans="1:24" x14ac:dyDescent="0.4">
      <c r="A23" s="23"/>
      <c r="B23" s="4"/>
      <c r="C23" s="4"/>
      <c r="D23" s="24"/>
      <c r="F23" s="28"/>
      <c r="G23" s="53"/>
      <c r="H23" s="53"/>
      <c r="I23" s="54"/>
      <c r="K23" s="9"/>
      <c r="L23" s="66"/>
      <c r="M23" s="3"/>
      <c r="N23" s="10"/>
      <c r="P23" s="17"/>
      <c r="Q23" s="2"/>
      <c r="R23" s="41"/>
      <c r="S23" s="72"/>
      <c r="U23" s="88"/>
      <c r="V23" s="89"/>
      <c r="W23" s="90"/>
      <c r="X23" s="89">
        <f>Savings_12[[#This Row],[Planned]]-Savings_12[[#This Row],[Actual]]</f>
        <v>0</v>
      </c>
    </row>
    <row r="24" spans="1:24" x14ac:dyDescent="0.4">
      <c r="A24" s="23"/>
      <c r="B24" s="4"/>
      <c r="C24" s="4"/>
      <c r="D24" s="24"/>
      <c r="F24" s="28"/>
      <c r="G24" s="53"/>
      <c r="H24" s="53"/>
      <c r="I24" s="54"/>
      <c r="K24" s="9"/>
      <c r="L24" s="66"/>
      <c r="M24" s="3"/>
      <c r="N24" s="10"/>
      <c r="P24" s="17"/>
      <c r="Q24" s="2"/>
      <c r="R24" s="41"/>
      <c r="S24" s="72"/>
      <c r="U24" s="88"/>
      <c r="V24" s="89"/>
      <c r="W24" s="90"/>
      <c r="X24" s="89">
        <f>Savings_12[[#This Row],[Planned]]-Savings_12[[#This Row],[Actual]]</f>
        <v>0</v>
      </c>
    </row>
    <row r="25" spans="1:24" x14ac:dyDescent="0.4">
      <c r="A25" s="23"/>
      <c r="B25" s="4"/>
      <c r="C25" s="4"/>
      <c r="D25" s="24"/>
      <c r="F25" s="28"/>
      <c r="G25" s="53"/>
      <c r="H25" s="53"/>
      <c r="I25" s="54"/>
      <c r="K25" s="9"/>
      <c r="L25" s="66"/>
      <c r="M25" s="3"/>
      <c r="N25" s="10"/>
      <c r="P25" s="17"/>
      <c r="Q25" s="2"/>
      <c r="R25" s="41"/>
      <c r="S25" s="72"/>
      <c r="U25" s="88"/>
      <c r="V25" s="89"/>
      <c r="W25" s="90"/>
      <c r="X25" s="89">
        <f>Savings_12[[#This Row],[Planned]]-Savings_12[[#This Row],[Actual]]</f>
        <v>0</v>
      </c>
    </row>
    <row r="26" spans="1:24" x14ac:dyDescent="0.4">
      <c r="A26" s="25"/>
      <c r="B26" s="26"/>
      <c r="C26" s="26"/>
      <c r="D26" s="27"/>
      <c r="F26" s="32"/>
      <c r="G26" s="55"/>
      <c r="H26" s="55"/>
      <c r="I26" s="56"/>
      <c r="K26" s="14"/>
      <c r="L26" s="67"/>
      <c r="M26" s="15"/>
      <c r="N26" s="16"/>
      <c r="P26" s="21"/>
      <c r="Q26" s="22"/>
      <c r="R26" s="73"/>
      <c r="S26" s="74"/>
      <c r="U26" s="80"/>
      <c r="V26" s="81"/>
      <c r="W26" s="82"/>
      <c r="X26" s="83">
        <f>Savings_12[[#This Row],[Planned]]-Savings_12[[#This Row],[Actual]]</f>
        <v>0</v>
      </c>
    </row>
    <row r="27" spans="1:24" ht="22.5" x14ac:dyDescent="0.45">
      <c r="A27" s="47" t="s">
        <v>45</v>
      </c>
      <c r="B27" s="48">
        <f>SUM(B13:B26)</f>
        <v>5700</v>
      </c>
      <c r="C27" s="48">
        <f ca="1">SUM(Income_12[Actual])</f>
        <v>6500</v>
      </c>
      <c r="D27" s="49">
        <f ca="1">SUBTOTAL(109,Income_12[Left])</f>
        <v>800</v>
      </c>
      <c r="F27" s="57" t="s">
        <v>45</v>
      </c>
      <c r="G27" s="58">
        <f>SUM(G13:G26)</f>
        <v>3795</v>
      </c>
      <c r="H27" s="58">
        <f ca="1">SUM(H13:H26)</f>
        <v>4080</v>
      </c>
      <c r="I27" s="59">
        <f ca="1">SUBTOTAL(109,Expenses_12[Left])</f>
        <v>-285</v>
      </c>
      <c r="K27" s="61" t="s">
        <v>45</v>
      </c>
      <c r="L27" s="62"/>
      <c r="M27" s="63">
        <f>SUM(M13:M26)</f>
        <v>1735</v>
      </c>
      <c r="N27" s="64">
        <f>SUBTOTAL(103,Bills_12[Actual])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SUBTOTAL(103,Subscriptions_12[Actual])</f>
        <v>0</v>
      </c>
      <c r="U27" s="84" t="s">
        <v>45</v>
      </c>
      <c r="V27" s="85">
        <f>SUM(V13:V26)</f>
        <v>1905</v>
      </c>
      <c r="W27" s="86">
        <f>SUBTOTAL(109,Savings_12[Actual])</f>
        <v>0</v>
      </c>
      <c r="X27" s="87">
        <f>SUM(Savings_12[Left])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pageSetup paperSize="9" orientation="portrait" horizontalDpi="300" verticalDpi="0" copies="0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Maja Abuhasna</dc:creator>
  <cp:keywords/>
  <dc:description/>
  <cp:lastModifiedBy>en-A301-09</cp:lastModifiedBy>
  <cp:revision/>
  <dcterms:created xsi:type="dcterms:W3CDTF">2025-10-31T12:46:44Z</dcterms:created>
  <dcterms:modified xsi:type="dcterms:W3CDTF">2026-01-16T13:05:39Z</dcterms:modified>
  <cp:category/>
  <cp:contentStatus/>
</cp:coreProperties>
</file>
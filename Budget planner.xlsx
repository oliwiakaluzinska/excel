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en-A301-09\Downloads\"/>
    </mc:Choice>
  </mc:AlternateContent>
  <xr:revisionPtr revIDLastSave="0" documentId="8_{1C0BE293-7061-41FA-A188-B3CB97CF21AC}" xr6:coauthVersionLast="47" xr6:coauthVersionMax="47" xr10:uidLastSave="{00000000-0000-0000-0000-000000000000}"/>
  <bookViews>
    <workbookView xWindow="-120" yWindow="-120" windowWidth="29040" windowHeight="15840" xr2:uid="{1350B4C1-6FA8-4F8D-9418-F675D7B2477F}"/>
  </bookViews>
  <sheets>
    <sheet name="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" l="1" a="1"/>
  <c r="A2" i="1" s="1"/>
  <c r="S25" i="1"/>
  <c r="R25" i="1"/>
  <c r="O25" i="1"/>
  <c r="N25" i="1"/>
  <c r="K25" i="1"/>
  <c r="J25" i="1"/>
  <c r="F25" i="1"/>
  <c r="G25" i="1"/>
  <c r="C25" i="1"/>
  <c r="B2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<sst xmlns="http://schemas.openxmlformats.org/spreadsheetml/2006/main" count="62" uniqueCount="45">
  <si>
    <t>Incomes</t>
  </si>
  <si>
    <t>Expenses</t>
  </si>
  <si>
    <t>Bills</t>
  </si>
  <si>
    <t>Subscriptions</t>
  </si>
  <si>
    <t>Savings</t>
  </si>
  <si>
    <t>Source</t>
  </si>
  <si>
    <t>Planned</t>
  </si>
  <si>
    <t>Actual</t>
  </si>
  <si>
    <t>Category</t>
  </si>
  <si>
    <t>Bill</t>
  </si>
  <si>
    <t>Service</t>
  </si>
  <si>
    <t>Aim</t>
  </si>
  <si>
    <t>Allowance</t>
  </si>
  <si>
    <t>Accommodation</t>
  </si>
  <si>
    <t>Rent</t>
  </si>
  <si>
    <t>Netflix</t>
  </si>
  <si>
    <t>Backup</t>
  </si>
  <si>
    <t>Scholarship</t>
  </si>
  <si>
    <t>Groceries</t>
  </si>
  <si>
    <t>Electricity</t>
  </si>
  <si>
    <t>Spotify</t>
  </si>
  <si>
    <t>Travelling</t>
  </si>
  <si>
    <t>Part-time job</t>
  </si>
  <si>
    <t>Transport</t>
  </si>
  <si>
    <t>Gas</t>
  </si>
  <si>
    <t>Storytel</t>
  </si>
  <si>
    <t>Hobby</t>
  </si>
  <si>
    <t>Interests</t>
  </si>
  <si>
    <t>Cleaning supplies</t>
  </si>
  <si>
    <t>Water</t>
  </si>
  <si>
    <t>ChatGPT</t>
  </si>
  <si>
    <t>Gifts</t>
  </si>
  <si>
    <t>Personal care</t>
  </si>
  <si>
    <t>Waste</t>
  </si>
  <si>
    <t>Other</t>
  </si>
  <si>
    <t>Education</t>
  </si>
  <si>
    <t>Phone</t>
  </si>
  <si>
    <t>Entertainment</t>
  </si>
  <si>
    <t>Internet</t>
  </si>
  <si>
    <t>Going out</t>
  </si>
  <si>
    <t>Sum</t>
  </si>
  <si>
    <t>Month</t>
  </si>
  <si>
    <t>Incomes+A9:S16</t>
  </si>
  <si>
    <t>Balance</t>
  </si>
  <si>
    <t>Left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</si>
</sst>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&quot;zł&quot;_-;\-* #,##0.00\ &quot;zł&quot;_-;_-* &quot;-&quot;??\ &quot;zł&quot;_-;_-@_-"/>
    <numFmt numFmtId="165" formatCode="_-* #,##0.00\ [$zł-415]_-;\-* #,##0.00\ [$zł-415]_-;_-* &quot;-&quot;??\ [$zł-415]_-;_-@_-"/>
  </numFmts>
  <fonts count="5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4"/>
      <color theme="1"/>
      <name val="Comic Sans MS"/>
      <family val="4"/>
      <charset val="238"/>
    </font>
    <font>
      <sz val="14"/>
      <color theme="7" tint="0.79998168889431442"/>
      <name val="Comic Sans MS"/>
      <family val="4"/>
      <charset val="238"/>
    </font>
    <font>
      <sz val="14"/>
      <color theme="0"/>
      <name val="Comic Sans MS"/>
      <family val="4"/>
      <charset val="238"/>
    </font>
  </fonts>
  <fills count="17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5">
    <xf numFmtId="0" fontId="0" fillId="0" borderId="0" xfId="0"/>
    <xf numFmtId="0" fontId="2" fillId="0" borderId="0" xfId="0" applyFont="1"/>
    <xf numFmtId="0" fontId="2" fillId="2" borderId="1" xfId="0" applyFont="1" applyFill="1" applyBorder="1"/>
    <xf numFmtId="0" fontId="2" fillId="3" borderId="1" xfId="0" applyFont="1" applyFill="1" applyBorder="1"/>
    <xf numFmtId="165" fontId="2" fillId="3" borderId="1" xfId="1" applyNumberFormat="1" applyFont="1" applyFill="1" applyBorder="1"/>
    <xf numFmtId="0" fontId="2" fillId="4" borderId="1" xfId="0" applyFont="1" applyFill="1" applyBorder="1"/>
    <xf numFmtId="165" fontId="2" fillId="4" borderId="1" xfId="0" applyNumberFormat="1" applyFont="1" applyFill="1" applyBorder="1"/>
    <xf numFmtId="0" fontId="3" fillId="0" borderId="0" xfId="0" applyFont="1"/>
    <xf numFmtId="0" fontId="4" fillId="5" borderId="1" xfId="0" applyFont="1" applyFill="1" applyBorder="1"/>
    <xf numFmtId="0" fontId="4" fillId="6" borderId="1" xfId="0" applyFont="1" applyFill="1" applyBorder="1"/>
    <xf numFmtId="165" fontId="4" fillId="6" borderId="1" xfId="1" applyNumberFormat="1" applyFont="1" applyFill="1" applyBorder="1"/>
    <xf numFmtId="0" fontId="4" fillId="7" borderId="1" xfId="0" applyFont="1" applyFill="1" applyBorder="1"/>
    <xf numFmtId="165" fontId="4" fillId="7" borderId="1" xfId="0" applyNumberFormat="1" applyFont="1" applyFill="1" applyBorder="1"/>
    <xf numFmtId="0" fontId="2" fillId="8" borderId="1" xfId="0" applyFont="1" applyFill="1" applyBorder="1"/>
    <xf numFmtId="0" fontId="2" fillId="9" borderId="1" xfId="0" applyFont="1" applyFill="1" applyBorder="1"/>
    <xf numFmtId="0" fontId="2" fillId="10" borderId="1" xfId="0" applyFont="1" applyFill="1" applyBorder="1"/>
    <xf numFmtId="0" fontId="2" fillId="11" borderId="1" xfId="0" applyFont="1" applyFill="1" applyBorder="1"/>
    <xf numFmtId="165" fontId="2" fillId="11" borderId="1" xfId="0" applyNumberFormat="1" applyFont="1" applyFill="1" applyBorder="1"/>
    <xf numFmtId="165" fontId="2" fillId="2" borderId="1" xfId="1" applyNumberFormat="1" applyFont="1" applyFill="1" applyBorder="1"/>
    <xf numFmtId="0" fontId="2" fillId="12" borderId="1" xfId="0" applyFont="1" applyFill="1" applyBorder="1"/>
    <xf numFmtId="165" fontId="2" fillId="12" borderId="1" xfId="0" applyNumberFormat="1" applyFont="1" applyFill="1" applyBorder="1"/>
    <xf numFmtId="0" fontId="4" fillId="13" borderId="1" xfId="0" applyFont="1" applyFill="1" applyBorder="1"/>
    <xf numFmtId="165" fontId="4" fillId="13" borderId="1" xfId="0" applyNumberFormat="1" applyFont="1" applyFill="1" applyBorder="1"/>
    <xf numFmtId="165" fontId="4" fillId="5" borderId="1" xfId="1" applyNumberFormat="1" applyFont="1" applyFill="1" applyBorder="1"/>
    <xf numFmtId="0" fontId="4" fillId="14" borderId="1" xfId="0" applyFont="1" applyFill="1" applyBorder="1"/>
    <xf numFmtId="165" fontId="4" fillId="14" borderId="1" xfId="0" applyNumberFormat="1" applyFont="1" applyFill="1" applyBorder="1"/>
    <xf numFmtId="0" fontId="2" fillId="15" borderId="1" xfId="0" applyFont="1" applyFill="1" applyBorder="1"/>
    <xf numFmtId="0" fontId="2" fillId="16" borderId="1" xfId="0" applyFont="1" applyFill="1" applyBorder="1"/>
    <xf numFmtId="0" fontId="4" fillId="13" borderId="1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7" borderId="1" xfId="0" applyFont="1" applyFill="1" applyBorder="1" applyAlignment="1">
      <alignment horizontal="center"/>
    </xf>
    <xf numFmtId="0" fontId="4" fillId="14" borderId="1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Aspekt">
      <a:dk1>
        <a:sysClr val="windowText" lastClr="000000"/>
      </a:dk1>
      <a:lt1>
        <a:sysClr val="window" lastClr="FFFFFF"/>
      </a:lt1>
      <a:dk2>
        <a:srgbClr val="323232"/>
      </a:dk2>
      <a:lt2>
        <a:srgbClr val="E3DED1"/>
      </a:lt2>
      <a:accent1>
        <a:srgbClr val="F07F09"/>
      </a:accent1>
      <a:accent2>
        <a:srgbClr val="9F2936"/>
      </a:accent2>
      <a:accent3>
        <a:srgbClr val="1B587C"/>
      </a:accent3>
      <a:accent4>
        <a:srgbClr val="4E8542"/>
      </a:accent4>
      <a:accent5>
        <a:srgbClr val="604878"/>
      </a:accent5>
      <a:accent6>
        <a:srgbClr val="C19859"/>
      </a:accent6>
      <a:hlink>
        <a:srgbClr val="6B9F25"/>
      </a:hlink>
      <a:folHlink>
        <a:srgbClr val="B26B02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CB483-69A1-40A7-B143-580A9C6FC79C}">
  <dimension ref="A1:S25"/>
  <sheetViews>
    <sheetView tabSelected="1" zoomScaleNormal="100" workbookViewId="0">
      <selection activeCell="A2" sqref="A2:C2"/>
    </sheetView>
  </sheetViews>
  <sheetFormatPr defaultRowHeight="21" x14ac:dyDescent="0.4"/>
  <cols>
    <col min="1" max="1" width="18.28515625" style="1" customWidth="1"/>
    <col min="2" max="2" width="18.7109375" style="1" bestFit="1" customWidth="1"/>
    <col min="3" max="3" width="11.140625" style="1" customWidth="1"/>
    <col min="4" max="4" width="9.140625" style="1"/>
    <col min="5" max="5" width="23" style="1" bestFit="1" customWidth="1"/>
    <col min="6" max="6" width="18.7109375" style="1" bestFit="1" customWidth="1"/>
    <col min="7" max="7" width="11.140625" style="1" customWidth="1"/>
    <col min="8" max="8" width="9.140625" style="1"/>
    <col min="9" max="9" width="14.5703125" style="1" bestFit="1" customWidth="1"/>
    <col min="10" max="10" width="18.7109375" style="1" bestFit="1" customWidth="1"/>
    <col min="11" max="11" width="11.140625" style="1" customWidth="1"/>
    <col min="12" max="12" width="9.140625" style="1"/>
    <col min="13" max="13" width="12" style="1" bestFit="1" customWidth="1"/>
    <col min="14" max="14" width="15.5703125" style="1" bestFit="1" customWidth="1"/>
    <col min="15" max="15" width="11.140625" style="1" customWidth="1"/>
    <col min="16" max="16" width="9.140625" style="1"/>
    <col min="17" max="17" width="14" style="1" customWidth="1"/>
    <col min="18" max="19" width="11.140625" style="1" customWidth="1"/>
    <col min="20" max="16384" width="9.140625" style="1"/>
  </cols>
  <sheetData>
    <row r="1" spans="1:19" x14ac:dyDescent="0.4">
      <c r="A1" s="33" t="s">
        <v>41</v>
      </c>
      <c r="B1" s="33"/>
      <c r="C1" s="33"/>
    </row>
    <row r="2" spans="1:19" x14ac:dyDescent="0.4">
      <c r="A2" s="34" t="str" cm="1">
        <f t="array" aca="1" ref="A2" ca="1">RIGHT(CELL("filename",A1),LEN(CELL("filename",A1))-FIND("]",CELL("filename",A1)))</f>
        <v>1</v>
      </c>
      <c r="B2" s="34"/>
      <c r="C2" s="34"/>
    </row>
    <row r="4" spans="1:19" x14ac:dyDescent="0.4">
      <c r="B4" s="1" t="s">
        <v>6</v>
      </c>
      <c r="C4" s="1" t="s">
        <v>7</v>
      </c>
      <c r="D4" s="1" t="s">
        <v>44</v>
      </c>
    </row>
    <row r="5" spans="1:19" x14ac:dyDescent="0.4">
      <c r="A5" s="1" t="s">
        <v>0</v>
      </c>
    </row>
    <row r="6" spans="1:19" x14ac:dyDescent="0.4">
      <c r="A6" s="1" t="s">
        <v>1</v>
      </c>
    </row>
    <row r="7" spans="1:19" x14ac:dyDescent="0.4">
      <c r="A7" s="1" t="s">
        <v>4</v>
      </c>
    </row>
    <row r="9" spans="1:19" x14ac:dyDescent="0.4">
      <c r="A9" s="1" t="s">
        <v>43</v>
      </c>
    </row>
    <row r="11" spans="1:19" x14ac:dyDescent="0.4">
      <c r="A11" s="28" t="s">
        <v>42</v>
      </c>
      <c r="B11" s="28"/>
      <c r="C11" s="28"/>
      <c r="E11" s="29" t="s">
        <v>1</v>
      </c>
      <c r="F11" s="29"/>
      <c r="G11" s="29"/>
      <c r="I11" s="30" t="s">
        <v>2</v>
      </c>
      <c r="J11" s="30"/>
      <c r="K11" s="30"/>
      <c r="M11" s="31" t="s">
        <v>3</v>
      </c>
      <c r="N11" s="31"/>
      <c r="O11" s="31"/>
      <c r="Q11" s="32" t="s">
        <v>4</v>
      </c>
      <c r="R11" s="32"/>
      <c r="S11" s="32"/>
    </row>
    <row r="12" spans="1:19" x14ac:dyDescent="0.4">
      <c r="A12" s="26" t="s">
        <v>5</v>
      </c>
      <c r="B12" s="26" t="s">
        <v>6</v>
      </c>
      <c r="C12" s="26" t="s">
        <v>7</v>
      </c>
      <c r="E12" s="14" t="s">
        <v>8</v>
      </c>
      <c r="F12" s="14" t="s">
        <v>6</v>
      </c>
      <c r="G12" s="14" t="s">
        <v>7</v>
      </c>
      <c r="I12" s="13" t="s">
        <v>9</v>
      </c>
      <c r="J12" s="13" t="s">
        <v>6</v>
      </c>
      <c r="K12" s="13" t="s">
        <v>7</v>
      </c>
      <c r="M12" s="15" t="s">
        <v>10</v>
      </c>
      <c r="N12" s="15" t="s">
        <v>6</v>
      </c>
      <c r="O12" s="15" t="s">
        <v>7</v>
      </c>
      <c r="Q12" s="27" t="s">
        <v>11</v>
      </c>
      <c r="R12" s="27" t="s">
        <v>6</v>
      </c>
      <c r="S12" s="27" t="s">
        <v>7</v>
      </c>
    </row>
    <row r="13" spans="1:19" x14ac:dyDescent="0.4">
      <c r="A13" s="16" t="s">
        <v>12</v>
      </c>
      <c r="B13" s="17">
        <v>2500</v>
      </c>
      <c r="C13" s="17"/>
      <c r="E13" s="3" t="s">
        <v>13</v>
      </c>
      <c r="F13" s="4">
        <v>2800</v>
      </c>
      <c r="G13" s="4"/>
      <c r="I13" s="2" t="s">
        <v>14</v>
      </c>
      <c r="J13" s="18">
        <v>2200</v>
      </c>
      <c r="K13" s="18"/>
      <c r="M13" s="5" t="s">
        <v>15</v>
      </c>
      <c r="N13" s="6">
        <v>33</v>
      </c>
      <c r="O13" s="6"/>
      <c r="Q13" s="19" t="s">
        <v>16</v>
      </c>
      <c r="R13" s="20"/>
      <c r="S13" s="20"/>
    </row>
    <row r="14" spans="1:19" x14ac:dyDescent="0.4">
      <c r="A14" s="16" t="s">
        <v>17</v>
      </c>
      <c r="B14" s="17">
        <v>1500</v>
      </c>
      <c r="C14" s="17"/>
      <c r="E14" s="3" t="s">
        <v>18</v>
      </c>
      <c r="F14" s="4">
        <v>600</v>
      </c>
      <c r="G14" s="4"/>
      <c r="I14" s="2" t="s">
        <v>19</v>
      </c>
      <c r="J14" s="18">
        <v>115</v>
      </c>
      <c r="K14" s="18"/>
      <c r="M14" s="5" t="s">
        <v>20</v>
      </c>
      <c r="N14" s="6">
        <v>12.99</v>
      </c>
      <c r="O14" s="6"/>
      <c r="Q14" s="19" t="s">
        <v>21</v>
      </c>
      <c r="R14" s="20"/>
      <c r="S14" s="20"/>
    </row>
    <row r="15" spans="1:19" x14ac:dyDescent="0.4">
      <c r="A15" s="16" t="s">
        <v>22</v>
      </c>
      <c r="B15" s="17">
        <v>1600</v>
      </c>
      <c r="C15" s="17"/>
      <c r="E15" s="3" t="s">
        <v>23</v>
      </c>
      <c r="F15" s="4">
        <v>150</v>
      </c>
      <c r="G15" s="4"/>
      <c r="I15" s="2" t="s">
        <v>24</v>
      </c>
      <c r="J15" s="18">
        <v>65</v>
      </c>
      <c r="K15" s="18"/>
      <c r="M15" s="5" t="s">
        <v>25</v>
      </c>
      <c r="N15" s="6">
        <v>24.9</v>
      </c>
      <c r="O15" s="6"/>
      <c r="Q15" s="19" t="s">
        <v>26</v>
      </c>
      <c r="R15" s="20"/>
      <c r="S15" s="20"/>
    </row>
    <row r="16" spans="1:19" x14ac:dyDescent="0.4">
      <c r="A16" s="16" t="s">
        <v>27</v>
      </c>
      <c r="B16" s="17">
        <v>300</v>
      </c>
      <c r="C16" s="17"/>
      <c r="E16" s="3" t="s">
        <v>28</v>
      </c>
      <c r="F16" s="4">
        <v>80</v>
      </c>
      <c r="G16" s="4"/>
      <c r="I16" s="2" t="s">
        <v>29</v>
      </c>
      <c r="J16" s="18">
        <v>40</v>
      </c>
      <c r="K16" s="18"/>
      <c r="M16" s="5" t="s">
        <v>30</v>
      </c>
      <c r="N16" s="6">
        <v>100</v>
      </c>
      <c r="O16" s="6"/>
      <c r="Q16" s="19"/>
      <c r="R16" s="20"/>
      <c r="S16" s="20"/>
    </row>
    <row r="17" spans="1:19" x14ac:dyDescent="0.4">
      <c r="A17" s="16" t="s">
        <v>31</v>
      </c>
      <c r="B17" s="17">
        <v>200</v>
      </c>
      <c r="C17" s="17"/>
      <c r="E17" s="3" t="s">
        <v>32</v>
      </c>
      <c r="F17" s="4">
        <v>200</v>
      </c>
      <c r="G17" s="4"/>
      <c r="I17" s="2" t="s">
        <v>33</v>
      </c>
      <c r="J17" s="18">
        <v>35</v>
      </c>
      <c r="K17" s="18"/>
      <c r="M17" s="5"/>
      <c r="N17" s="6"/>
      <c r="O17" s="6"/>
      <c r="Q17" s="19"/>
      <c r="R17" s="20"/>
      <c r="S17" s="20"/>
    </row>
    <row r="18" spans="1:19" x14ac:dyDescent="0.4">
      <c r="A18" s="16" t="s">
        <v>34</v>
      </c>
      <c r="B18" s="17"/>
      <c r="C18" s="17"/>
      <c r="E18" s="3" t="s">
        <v>35</v>
      </c>
      <c r="F18" s="4">
        <v>170</v>
      </c>
      <c r="G18" s="4"/>
      <c r="I18" s="2" t="s">
        <v>36</v>
      </c>
      <c r="J18" s="18">
        <v>60</v>
      </c>
      <c r="K18" s="18"/>
      <c r="M18" s="5"/>
      <c r="N18" s="6"/>
      <c r="O18" s="6"/>
      <c r="Q18" s="19"/>
      <c r="R18" s="20"/>
      <c r="S18" s="20"/>
    </row>
    <row r="19" spans="1:19" x14ac:dyDescent="0.4">
      <c r="A19" s="16"/>
      <c r="B19" s="17"/>
      <c r="C19" s="17"/>
      <c r="D19" s="7"/>
      <c r="E19" s="3" t="s">
        <v>37</v>
      </c>
      <c r="F19" s="4">
        <v>200</v>
      </c>
      <c r="G19" s="4"/>
      <c r="I19" s="2" t="s">
        <v>38</v>
      </c>
      <c r="J19" s="18">
        <v>60</v>
      </c>
      <c r="K19" s="18"/>
      <c r="M19" s="5"/>
      <c r="N19" s="6"/>
      <c r="O19" s="6"/>
      <c r="Q19" s="19"/>
      <c r="R19" s="20"/>
      <c r="S19" s="20"/>
    </row>
    <row r="20" spans="1:19" x14ac:dyDescent="0.4">
      <c r="A20" s="16"/>
      <c r="B20" s="17"/>
      <c r="C20" s="17"/>
      <c r="E20" s="3" t="s">
        <v>39</v>
      </c>
      <c r="F20" s="4">
        <v>200</v>
      </c>
      <c r="G20" s="4"/>
      <c r="I20" s="2"/>
      <c r="J20" s="18"/>
      <c r="K20" s="18"/>
      <c r="M20" s="5"/>
      <c r="N20" s="6"/>
      <c r="O20" s="6"/>
      <c r="Q20" s="19"/>
      <c r="R20" s="20"/>
      <c r="S20" s="20"/>
    </row>
    <row r="21" spans="1:19" x14ac:dyDescent="0.4">
      <c r="A21" s="16"/>
      <c r="B21" s="17"/>
      <c r="C21" s="17"/>
      <c r="E21" s="3" t="s">
        <v>34</v>
      </c>
      <c r="F21" s="4"/>
      <c r="G21" s="4"/>
      <c r="I21" s="2"/>
      <c r="J21" s="18"/>
      <c r="K21" s="18"/>
      <c r="M21" s="5"/>
      <c r="N21" s="6"/>
      <c r="O21" s="6"/>
      <c r="Q21" s="19"/>
      <c r="R21" s="20"/>
      <c r="S21" s="20"/>
    </row>
    <row r="22" spans="1:19" x14ac:dyDescent="0.4">
      <c r="A22" s="16"/>
      <c r="B22" s="17"/>
      <c r="C22" s="17"/>
      <c r="E22" s="3"/>
      <c r="F22" s="4"/>
      <c r="G22" s="4"/>
      <c r="I22" s="2"/>
      <c r="J22" s="18"/>
      <c r="K22" s="18"/>
      <c r="M22" s="5"/>
      <c r="N22" s="6"/>
      <c r="O22" s="6"/>
      <c r="Q22" s="19"/>
      <c r="R22" s="20"/>
      <c r="S22" s="20"/>
    </row>
    <row r="23" spans="1:19" x14ac:dyDescent="0.4">
      <c r="A23" s="16"/>
      <c r="B23" s="17"/>
      <c r="C23" s="17"/>
      <c r="E23" s="3"/>
      <c r="F23" s="4"/>
      <c r="G23" s="4"/>
      <c r="I23" s="2"/>
      <c r="J23" s="18"/>
      <c r="K23" s="18"/>
      <c r="M23" s="5"/>
      <c r="N23" s="6"/>
      <c r="O23" s="6"/>
      <c r="Q23" s="19"/>
      <c r="R23" s="20"/>
      <c r="S23" s="20"/>
    </row>
    <row r="24" spans="1:19" x14ac:dyDescent="0.4">
      <c r="A24" s="16"/>
      <c r="B24" s="17"/>
      <c r="C24" s="17"/>
      <c r="E24" s="3"/>
      <c r="F24" s="4"/>
      <c r="G24" s="4"/>
      <c r="I24" s="2"/>
      <c r="J24" s="18"/>
      <c r="K24" s="18"/>
      <c r="M24" s="5"/>
      <c r="N24" s="6"/>
      <c r="O24" s="6"/>
      <c r="Q24" s="19"/>
      <c r="R24" s="20"/>
      <c r="S24" s="20"/>
    </row>
    <row r="25" spans="1:19" x14ac:dyDescent="0.4">
      <c r="A25" s="21" t="s">
        <v>40</v>
      </c>
      <c r="B25" s="22">
        <f>SUM(B13:B24)</f>
        <v>6100</v>
      </c>
      <c r="C25" s="22">
        <f>SUM(C13:C24)</f>
        <v>0</v>
      </c>
      <c r="E25" s="9" t="s">
        <v>40</v>
      </c>
      <c r="F25" s="10">
        <f>SUM(F13:F24)</f>
        <v>4400</v>
      </c>
      <c r="G25" s="10">
        <f>SUM(G13:G24)</f>
        <v>0</v>
      </c>
      <c r="I25" s="8" t="s">
        <v>40</v>
      </c>
      <c r="J25" s="23">
        <f>SUM(J13:J24)</f>
        <v>2575</v>
      </c>
      <c r="K25" s="23">
        <f>SUM(K13:K24)</f>
        <v>0</v>
      </c>
      <c r="M25" s="11" t="s">
        <v>40</v>
      </c>
      <c r="N25" s="12">
        <f>SUM(N13:N24)</f>
        <v>170.89</v>
      </c>
      <c r="O25" s="12">
        <f>SUM(O13:O24)</f>
        <v>0</v>
      </c>
      <c r="Q25" s="24" t="s">
        <v>40</v>
      </c>
      <c r="R25" s="25">
        <f>SUM(R13:R24)</f>
        <v>0</v>
      </c>
      <c r="S25" s="25">
        <f>SUM(S13:S24)</f>
        <v>0</v>
      </c>
    </row>
  </sheetData>
  <mergeCells count="7">
    <mergeCell ref="A1:C1"/>
    <mergeCell ref="A2:C2"/>
    <mergeCell ref="A11:C11"/>
    <mergeCell ref="E11:G11"/>
    <mergeCell ref="I11:K11"/>
    <mergeCell ref="M11:O11"/>
    <mergeCell ref="Q11:S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Maja Abuhasna</dc:creator>
  <cp:keywords/>
  <dc:description/>
  <cp:lastModifiedBy>en-A301-09</cp:lastModifiedBy>
  <cp:revision/>
  <dcterms:created xsi:type="dcterms:W3CDTF">2025-10-31T12:46:44Z</dcterms:created>
  <dcterms:modified xsi:type="dcterms:W3CDTF">2025-12-05T13:43:58Z</dcterms:modified>
  <cp:category/>
  <cp:contentStatus/>
</cp:coreProperties>
</file>
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09\Desktop\"/>
    </mc:Choice>
  </mc:AlternateContent>
  <xr:revisionPtr revIDLastSave="0" documentId="13_ncr:1_{B1B8A2AD-08DB-421B-B083-EA5C46DF6763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operations" sheetId="2" r:id="rId1"/>
    <sheet name="dicionary" sheetId="3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  <sheet name="8" sheetId="11" r:id="rId10"/>
    <sheet name="9" sheetId="12" r:id="rId11"/>
    <sheet name="10" sheetId="13" r:id="rId12"/>
    <sheet name="11" sheetId="14" r:id="rId13"/>
    <sheet name="12" sheetId="15" r:id="rId14"/>
  </sheets>
  <definedNames>
    <definedName name="_xlnm._FilterDatabase" localSheetId="1" hidden="1">dicionary!$A$1:$B$17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5" l="1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8" a="1"/>
  <c r="B11" i="8" s="1"/>
  <c r="B11" i="7" a="1"/>
  <c r="B11" i="7" s="1"/>
  <c r="B11" i="6" a="1"/>
  <c r="B11" i="6" s="1"/>
  <c r="B11" i="5" a="1"/>
  <c r="B11" i="5" s="1"/>
  <c r="E3" i="4"/>
  <c r="E4" i="4"/>
  <c r="E5" i="4"/>
  <c r="E6" i="4"/>
  <c r="E7" i="4"/>
  <c r="E8" i="4"/>
  <c r="E2" i="4"/>
  <c r="B11" i="4" a="1"/>
  <c r="B11" i="4" s="1"/>
  <c r="D9" i="4"/>
  <c r="C9" i="4"/>
  <c r="E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H6" i="4" l="1"/>
  <c r="D5" i="5"/>
  <c r="K9" i="15"/>
  <c r="B14" i="15"/>
  <c r="D8" i="15"/>
  <c r="D6" i="15"/>
  <c r="D4" i="15"/>
  <c r="D2" i="15"/>
  <c r="H7" i="15"/>
  <c r="H5" i="15"/>
  <c r="H3" i="15"/>
  <c r="D7" i="15"/>
  <c r="D5" i="15"/>
  <c r="D3" i="15"/>
  <c r="K10" i="15"/>
  <c r="H6" i="15"/>
  <c r="H4" i="15"/>
  <c r="H2" i="15"/>
  <c r="K3" i="15"/>
  <c r="K5" i="15"/>
  <c r="K7" i="15"/>
  <c r="B15" i="15"/>
  <c r="B16" i="15"/>
  <c r="K2" i="15"/>
  <c r="K4" i="15"/>
  <c r="K6" i="15"/>
  <c r="K8" i="15"/>
  <c r="K9" i="14"/>
  <c r="K8" i="14"/>
  <c r="K6" i="14"/>
  <c r="K4" i="14"/>
  <c r="K2" i="14"/>
  <c r="B16" i="14"/>
  <c r="D7" i="14"/>
  <c r="H6" i="14"/>
  <c r="D5" i="14"/>
  <c r="H4" i="14"/>
  <c r="D3" i="14"/>
  <c r="H2" i="14"/>
  <c r="B14" i="14"/>
  <c r="K10" i="14"/>
  <c r="D8" i="14"/>
  <c r="H7" i="14"/>
  <c r="D6" i="14"/>
  <c r="H5" i="14"/>
  <c r="D4" i="14"/>
  <c r="H3" i="14"/>
  <c r="D2" i="14"/>
  <c r="B15" i="14"/>
  <c r="K7" i="14"/>
  <c r="K5" i="14"/>
  <c r="K3" i="14"/>
  <c r="K9" i="13"/>
  <c r="K8" i="13"/>
  <c r="K6" i="13"/>
  <c r="K4" i="13"/>
  <c r="K2" i="13"/>
  <c r="D3" i="13"/>
  <c r="B16" i="13"/>
  <c r="D7" i="13"/>
  <c r="H6" i="13"/>
  <c r="D5" i="13"/>
  <c r="H4" i="13"/>
  <c r="H2" i="13"/>
  <c r="B15" i="13"/>
  <c r="K7" i="13"/>
  <c r="K5" i="13"/>
  <c r="K3" i="13"/>
  <c r="B14" i="13"/>
  <c r="K10" i="13"/>
  <c r="D8" i="13"/>
  <c r="H7" i="13"/>
  <c r="D6" i="13"/>
  <c r="H5" i="13"/>
  <c r="D4" i="13"/>
  <c r="H3" i="13"/>
  <c r="D2" i="13"/>
  <c r="B16" i="12"/>
  <c r="D7" i="12"/>
  <c r="H6" i="12"/>
  <c r="D5" i="12"/>
  <c r="H4" i="12"/>
  <c r="D3" i="12"/>
  <c r="H2" i="12"/>
  <c r="K7" i="12"/>
  <c r="K5" i="12"/>
  <c r="K3" i="12"/>
  <c r="B15" i="12"/>
  <c r="B14" i="12"/>
  <c r="K10" i="12"/>
  <c r="D8" i="12"/>
  <c r="H7" i="12"/>
  <c r="D6" i="12"/>
  <c r="H5" i="12"/>
  <c r="D4" i="12"/>
  <c r="H3" i="12"/>
  <c r="D2" i="12"/>
  <c r="K9" i="12"/>
  <c r="K8" i="12"/>
  <c r="K6" i="12"/>
  <c r="K4" i="12"/>
  <c r="K2" i="12"/>
  <c r="K9" i="11"/>
  <c r="K8" i="11"/>
  <c r="K6" i="11"/>
  <c r="K4" i="11"/>
  <c r="K2" i="11"/>
  <c r="B16" i="11"/>
  <c r="D7" i="11"/>
  <c r="H6" i="11"/>
  <c r="D5" i="11"/>
  <c r="H4" i="11"/>
  <c r="D3" i="11"/>
  <c r="H2" i="11"/>
  <c r="B14" i="11"/>
  <c r="H5" i="11"/>
  <c r="D4" i="11"/>
  <c r="B15" i="11"/>
  <c r="K7" i="11"/>
  <c r="K5" i="11"/>
  <c r="K3" i="11"/>
  <c r="K10" i="11"/>
  <c r="D8" i="11"/>
  <c r="H7" i="11"/>
  <c r="D6" i="11"/>
  <c r="H3" i="11"/>
  <c r="D2" i="11"/>
  <c r="K9" i="10"/>
  <c r="K8" i="10"/>
  <c r="K6" i="10"/>
  <c r="K4" i="10"/>
  <c r="K2" i="10"/>
  <c r="B16" i="10"/>
  <c r="D7" i="10"/>
  <c r="H6" i="10"/>
  <c r="D5" i="10"/>
  <c r="H4" i="10"/>
  <c r="D3" i="10"/>
  <c r="H2" i="10"/>
  <c r="B14" i="10"/>
  <c r="K10" i="10"/>
  <c r="D8" i="10"/>
  <c r="H7" i="10"/>
  <c r="D6" i="10"/>
  <c r="H5" i="10"/>
  <c r="D4" i="10"/>
  <c r="H3" i="10"/>
  <c r="D2" i="10"/>
  <c r="B15" i="10"/>
  <c r="K7" i="10"/>
  <c r="K5" i="10"/>
  <c r="K3" i="10"/>
  <c r="K9" i="9"/>
  <c r="K8" i="9"/>
  <c r="K6" i="9"/>
  <c r="K4" i="9"/>
  <c r="K2" i="9"/>
  <c r="D7" i="9"/>
  <c r="H6" i="9"/>
  <c r="D5" i="9"/>
  <c r="H4" i="9"/>
  <c r="D3" i="9"/>
  <c r="H2" i="9"/>
  <c r="B16" i="9"/>
  <c r="B15" i="9"/>
  <c r="K7" i="9"/>
  <c r="K5" i="9"/>
  <c r="K3" i="9"/>
  <c r="B14" i="9"/>
  <c r="K10" i="9"/>
  <c r="D8" i="9"/>
  <c r="H7" i="9"/>
  <c r="D6" i="9"/>
  <c r="H5" i="9"/>
  <c r="D4" i="9"/>
  <c r="H3" i="9"/>
  <c r="D2" i="9"/>
  <c r="K9" i="8"/>
  <c r="K8" i="8"/>
  <c r="K6" i="8"/>
  <c r="K4" i="8"/>
  <c r="K2" i="8"/>
  <c r="B16" i="8"/>
  <c r="D7" i="8"/>
  <c r="H6" i="8"/>
  <c r="D5" i="8"/>
  <c r="H4" i="8"/>
  <c r="D3" i="8"/>
  <c r="H2" i="8"/>
  <c r="K7" i="8"/>
  <c r="K3" i="8"/>
  <c r="B15" i="8"/>
  <c r="K5" i="8"/>
  <c r="B14" i="8"/>
  <c r="D8" i="8"/>
  <c r="H7" i="8"/>
  <c r="D6" i="8"/>
  <c r="H5" i="8"/>
  <c r="D4" i="8"/>
  <c r="D2" i="8"/>
  <c r="K10" i="8"/>
  <c r="H3" i="8"/>
  <c r="K9" i="7"/>
  <c r="K8" i="7"/>
  <c r="K6" i="7"/>
  <c r="K4" i="7"/>
  <c r="K2" i="7"/>
  <c r="B16" i="7"/>
  <c r="D7" i="7"/>
  <c r="H6" i="7"/>
  <c r="D5" i="7"/>
  <c r="H4" i="7"/>
  <c r="D3" i="7"/>
  <c r="H2" i="7"/>
  <c r="B15" i="7"/>
  <c r="K7" i="7"/>
  <c r="K5" i="7"/>
  <c r="K3" i="7"/>
  <c r="B14" i="7"/>
  <c r="K10" i="7"/>
  <c r="D8" i="7"/>
  <c r="H7" i="7"/>
  <c r="D6" i="7"/>
  <c r="H5" i="7"/>
  <c r="D4" i="7"/>
  <c r="H3" i="7"/>
  <c r="D2" i="7"/>
  <c r="K9" i="6"/>
  <c r="K8" i="6"/>
  <c r="K6" i="6"/>
  <c r="K4" i="6"/>
  <c r="K2" i="6"/>
  <c r="D5" i="6"/>
  <c r="H4" i="6"/>
  <c r="D3" i="6"/>
  <c r="H2" i="6"/>
  <c r="B16" i="6"/>
  <c r="D7" i="6"/>
  <c r="H6" i="6"/>
  <c r="B14" i="6"/>
  <c r="K10" i="6"/>
  <c r="D8" i="6"/>
  <c r="H7" i="6"/>
  <c r="D6" i="6"/>
  <c r="H5" i="6"/>
  <c r="D4" i="6"/>
  <c r="H3" i="6"/>
  <c r="D2" i="6"/>
  <c r="B15" i="6"/>
  <c r="K7" i="6"/>
  <c r="K5" i="6"/>
  <c r="K3" i="6"/>
  <c r="D8" i="5"/>
  <c r="D7" i="5"/>
  <c r="D2" i="5"/>
  <c r="D3" i="5"/>
  <c r="D6" i="5"/>
  <c r="D4" i="5"/>
  <c r="K9" i="5"/>
  <c r="K8" i="5"/>
  <c r="H7" i="5"/>
  <c r="K4" i="5"/>
  <c r="H3" i="5"/>
  <c r="B16" i="5"/>
  <c r="K5" i="5"/>
  <c r="H4" i="5"/>
  <c r="B15" i="5"/>
  <c r="K6" i="5"/>
  <c r="H5" i="5"/>
  <c r="K2" i="5"/>
  <c r="B14" i="5"/>
  <c r="K10" i="5"/>
  <c r="K7" i="5"/>
  <c r="H6" i="5"/>
  <c r="K3" i="5"/>
  <c r="H2" i="5"/>
  <c r="E9" i="4"/>
  <c r="B16" i="4"/>
  <c r="B15" i="4"/>
  <c r="B14" i="4"/>
  <c r="K9" i="4"/>
  <c r="K5" i="4"/>
  <c r="K8" i="4"/>
  <c r="K4" i="4"/>
  <c r="K7" i="4"/>
  <c r="K3" i="4"/>
  <c r="K10" i="4"/>
  <c r="K6" i="4"/>
  <c r="K2" i="4"/>
  <c r="H2" i="4"/>
  <c r="H4" i="4"/>
  <c r="H7" i="4"/>
  <c r="H3" i="4"/>
  <c r="H5" i="4"/>
  <c r="C5" i="5" a="1"/>
  <c r="C8" i="5" a="1"/>
  <c r="C7" i="5" a="1"/>
  <c r="C4" i="5" a="1"/>
  <c r="C2" i="5" a="1"/>
  <c r="C6" i="5" a="1"/>
  <c r="C3" i="5" a="1"/>
  <c r="H8" i="15" l="1"/>
  <c r="B17" i="15"/>
  <c r="D9" i="15"/>
  <c r="K11" i="15"/>
  <c r="D9" i="14"/>
  <c r="H8" i="14"/>
  <c r="B17" i="14"/>
  <c r="K11" i="14"/>
  <c r="B17" i="12"/>
  <c r="D9" i="13"/>
  <c r="B17" i="13"/>
  <c r="H8" i="13"/>
  <c r="K11" i="13"/>
  <c r="K11" i="12"/>
  <c r="D9" i="12"/>
  <c r="H8" i="12"/>
  <c r="D9" i="11"/>
  <c r="H8" i="11"/>
  <c r="B17" i="11"/>
  <c r="K11" i="11"/>
  <c r="D9" i="10"/>
  <c r="H8" i="10"/>
  <c r="B17" i="10"/>
  <c r="K11" i="10"/>
  <c r="D9" i="9"/>
  <c r="H8" i="9"/>
  <c r="B17" i="9"/>
  <c r="K11" i="9"/>
  <c r="H8" i="8"/>
  <c r="D9" i="8"/>
  <c r="B17" i="8"/>
  <c r="K11" i="8"/>
  <c r="B17" i="7"/>
  <c r="D9" i="7"/>
  <c r="H8" i="7"/>
  <c r="K11" i="7"/>
  <c r="D9" i="6"/>
  <c r="H8" i="6"/>
  <c r="B17" i="6"/>
  <c r="K11" i="6"/>
  <c r="D9" i="5"/>
  <c r="C4" i="5"/>
  <c r="E4" i="5" s="1"/>
  <c r="C6" i="5"/>
  <c r="E6" i="5" s="1"/>
  <c r="C8" i="5"/>
  <c r="E8" i="5" s="1"/>
  <c r="C3" i="5"/>
  <c r="E3" i="5" s="1"/>
  <c r="C7" i="5"/>
  <c r="E7" i="5" s="1"/>
  <c r="C2" i="5"/>
  <c r="C5" i="5"/>
  <c r="E5" i="5" s="1"/>
  <c r="K11" i="5"/>
  <c r="H8" i="5"/>
  <c r="B17" i="5"/>
  <c r="B17" i="4"/>
  <c r="K11" i="4"/>
  <c r="H8" i="4"/>
  <c r="E2" i="5"/>
  <c r="C2" i="6" a="1"/>
  <c r="C8" i="6" a="1"/>
  <c r="C5" i="6" a="1"/>
  <c r="C6" i="6" a="1"/>
  <c r="C4" i="6" a="1"/>
  <c r="C7" i="6" a="1"/>
  <c r="C3" i="6" a="1"/>
  <c r="C3" i="6" l="1"/>
  <c r="E3" i="6" s="1"/>
  <c r="C5" i="6"/>
  <c r="E5" i="6" s="1"/>
  <c r="C8" i="6"/>
  <c r="E8" i="6" s="1"/>
  <c r="C2" i="6"/>
  <c r="E2" i="6" s="1"/>
  <c r="C6" i="6"/>
  <c r="E6" i="6" s="1"/>
  <c r="C7" i="6"/>
  <c r="E7" i="6" s="1"/>
  <c r="C4" i="6"/>
  <c r="E4" i="6" s="1"/>
  <c r="C9" i="5"/>
  <c r="E9" i="5"/>
  <c r="C3" i="7" a="1"/>
  <c r="C8" i="7" a="1"/>
  <c r="C6" i="7" a="1"/>
  <c r="C4" i="7" a="1"/>
  <c r="C5" i="7" a="1"/>
  <c r="C2" i="7" a="1"/>
  <c r="C7" i="7" a="1"/>
  <c r="C7" i="7" l="1"/>
  <c r="E7" i="7" s="1"/>
  <c r="C5" i="7"/>
  <c r="E5" i="7" s="1"/>
  <c r="C6" i="7"/>
  <c r="E6" i="7" s="1"/>
  <c r="C3" i="7"/>
  <c r="E3" i="7" s="1"/>
  <c r="C2" i="7"/>
  <c r="C4" i="7"/>
  <c r="E4" i="7" s="1"/>
  <c r="C8" i="7"/>
  <c r="E8" i="7" s="1"/>
  <c r="C9" i="6"/>
  <c r="E9" i="6"/>
  <c r="C5" i="8" a="1"/>
  <c r="C8" i="8" a="1"/>
  <c r="C7" i="8" a="1"/>
  <c r="C6" i="8" a="1"/>
  <c r="C4" i="8" a="1"/>
  <c r="C3" i="8" a="1"/>
  <c r="C3" i="8" l="1"/>
  <c r="E3" i="8" s="1"/>
  <c r="C6" i="8"/>
  <c r="E6" i="8" s="1"/>
  <c r="C8" i="8"/>
  <c r="E8" i="8" s="1"/>
  <c r="C5" i="8"/>
  <c r="E5" i="8" s="1"/>
  <c r="C4" i="8"/>
  <c r="E4" i="8" s="1"/>
  <c r="C7" i="8"/>
  <c r="E7" i="8" s="1"/>
  <c r="E2" i="7"/>
  <c r="C9" i="7"/>
  <c r="C3" i="9" a="1"/>
  <c r="C8" i="9" a="1"/>
  <c r="C2" i="8" a="1"/>
  <c r="C6" i="9" a="1"/>
  <c r="C4" i="9" a="1"/>
  <c r="C5" i="9" a="1"/>
  <c r="C7" i="9" a="1"/>
  <c r="C5" i="9" l="1"/>
  <c r="E5" i="9" s="1"/>
  <c r="C8" i="9"/>
  <c r="E8" i="9" s="1"/>
  <c r="C6" i="9"/>
  <c r="E6" i="9" s="1"/>
  <c r="C7" i="9"/>
  <c r="E7" i="9" s="1"/>
  <c r="C4" i="9"/>
  <c r="E4" i="9" s="1"/>
  <c r="C3" i="9"/>
  <c r="E3" i="9" s="1"/>
  <c r="C2" i="8"/>
  <c r="E9" i="7"/>
  <c r="C5" i="10" a="1"/>
  <c r="C3" i="10" a="1"/>
  <c r="C4" i="10" a="1"/>
  <c r="C6" i="10" a="1"/>
  <c r="C7" i="10" a="1"/>
  <c r="C8" i="10" a="1"/>
  <c r="C6" i="10" l="1"/>
  <c r="E6" i="10" s="1"/>
  <c r="C3" i="10"/>
  <c r="E3" i="10" s="1"/>
  <c r="C8" i="10"/>
  <c r="E8" i="10" s="1"/>
  <c r="C7" i="10"/>
  <c r="E7" i="10" s="1"/>
  <c r="C4" i="10"/>
  <c r="E4" i="10" s="1"/>
  <c r="C5" i="10"/>
  <c r="E5" i="10" s="1"/>
  <c r="C9" i="8"/>
  <c r="E2" i="8"/>
  <c r="C6" i="11" a="1"/>
  <c r="C7" i="11" a="1"/>
  <c r="C4" i="11" a="1"/>
  <c r="C8" i="11" a="1"/>
  <c r="C3" i="11" a="1"/>
  <c r="C2" i="9" a="1"/>
  <c r="C5" i="11" a="1"/>
  <c r="C8" i="11" l="1"/>
  <c r="E8" i="11" s="1"/>
  <c r="C7" i="11"/>
  <c r="E7" i="11" s="1"/>
  <c r="C5" i="11"/>
  <c r="E5" i="11" s="1"/>
  <c r="C3" i="11"/>
  <c r="E3" i="11" s="1"/>
  <c r="C4" i="11"/>
  <c r="E4" i="11" s="1"/>
  <c r="C6" i="11"/>
  <c r="E6" i="11" s="1"/>
  <c r="C2" i="9"/>
  <c r="E9" i="8"/>
  <c r="C8" i="12" a="1"/>
  <c r="C5" i="12" a="1"/>
  <c r="C4" i="12" a="1"/>
  <c r="C3" i="12" a="1"/>
  <c r="C7" i="12" a="1"/>
  <c r="C6" i="12" a="1"/>
  <c r="C3" i="12" l="1"/>
  <c r="E3" i="12" s="1"/>
  <c r="C5" i="12"/>
  <c r="E5" i="12" s="1"/>
  <c r="C6" i="12"/>
  <c r="E6" i="12" s="1"/>
  <c r="C7" i="12"/>
  <c r="E7" i="12" s="1"/>
  <c r="C4" i="12"/>
  <c r="E4" i="12" s="1"/>
  <c r="C8" i="12"/>
  <c r="E8" i="12" s="1"/>
  <c r="E2" i="9"/>
  <c r="C9" i="9"/>
  <c r="C6" i="13" a="1"/>
  <c r="C3" i="13" a="1"/>
  <c r="C5" i="13" a="1"/>
  <c r="C4" i="13" a="1"/>
  <c r="C7" i="13" a="1"/>
  <c r="C8" i="13" a="1"/>
  <c r="C2" i="10" a="1"/>
  <c r="C7" i="13" l="1"/>
  <c r="E7" i="13" s="1"/>
  <c r="C5" i="13"/>
  <c r="E5" i="13" s="1"/>
  <c r="C6" i="13"/>
  <c r="E6" i="13" s="1"/>
  <c r="C8" i="13"/>
  <c r="E8" i="13" s="1"/>
  <c r="C4" i="13"/>
  <c r="E4" i="13" s="1"/>
  <c r="C3" i="13"/>
  <c r="E3" i="13" s="1"/>
  <c r="C2" i="10"/>
  <c r="E9" i="9"/>
  <c r="C7" i="14" a="1"/>
  <c r="C6" i="14" a="1"/>
  <c r="C4" i="14" a="1"/>
  <c r="C8" i="14" a="1"/>
  <c r="C3" i="14" a="1"/>
  <c r="C5" i="14" a="1"/>
  <c r="C8" i="14" l="1"/>
  <c r="E8" i="14" s="1"/>
  <c r="C6" i="14"/>
  <c r="E6" i="14" s="1"/>
  <c r="C5" i="14"/>
  <c r="E5" i="14" s="1"/>
  <c r="C3" i="14"/>
  <c r="E3" i="14" s="1"/>
  <c r="C4" i="14"/>
  <c r="E4" i="14" s="1"/>
  <c r="C7" i="14"/>
  <c r="E7" i="14" s="1"/>
  <c r="C9" i="10"/>
  <c r="E2" i="10"/>
  <c r="C3" i="15" a="1"/>
  <c r="C7" i="15" a="1"/>
  <c r="C8" i="15" a="1"/>
  <c r="C5" i="15" a="1"/>
  <c r="C4" i="15" a="1"/>
  <c r="C2" i="11" a="1"/>
  <c r="C6" i="15" a="1"/>
  <c r="C5" i="15" l="1"/>
  <c r="E5" i="15" s="1"/>
  <c r="C7" i="15"/>
  <c r="E7" i="15" s="1"/>
  <c r="C6" i="15"/>
  <c r="E6" i="15" s="1"/>
  <c r="C4" i="15"/>
  <c r="E4" i="15" s="1"/>
  <c r="C8" i="15"/>
  <c r="E8" i="15" s="1"/>
  <c r="C3" i="15"/>
  <c r="E3" i="15" s="1"/>
  <c r="C2" i="11"/>
  <c r="E9" i="10"/>
  <c r="C9" i="11" l="1"/>
  <c r="E2" i="11"/>
  <c r="C2" i="12" a="1"/>
  <c r="C2" i="12" l="1"/>
  <c r="E9" i="11"/>
  <c r="E2" i="12" l="1"/>
  <c r="C9" i="12"/>
  <c r="C2" i="13" a="1"/>
  <c r="C2" i="13" l="1"/>
  <c r="E9" i="12"/>
  <c r="E2" i="13" l="1"/>
  <c r="C9" i="13"/>
  <c r="C2" i="14" a="1"/>
  <c r="C2" i="14" l="1"/>
  <c r="E9" i="13"/>
  <c r="C9" i="14" l="1"/>
  <c r="E2" i="14"/>
  <c r="C2" i="15" a="1"/>
  <c r="C2" i="15" l="1"/>
  <c r="E9" i="14"/>
  <c r="E2" i="15" l="1"/>
  <c r="E9" i="15" s="1"/>
  <c r="C9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<sst xmlns="http://schemas.openxmlformats.org/spreadsheetml/2006/main" count="1261" uniqueCount="38">
  <si>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</si>
  <si>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</si>
  <si>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</si>
  <si>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</si>
  <si>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</si>
  <si>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</si>
  <si>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</si>
  <si>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</si>
  <si>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</si>
  <si>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</si>
  <si>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Salary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</si>
  <si>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</si>
  <si>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</si>
  <si>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</si>
  <si>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</si>
  <si>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</si>
  <si>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</si>
  <si>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</si>
  <si>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</si>
  <si>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</si>
  <si>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</si>
  <si>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</si>
  <si>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</si>
  <si>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</si>
  <si>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</si>
  <si>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</si>
  <si>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</si>
  <si>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</si>
  <si>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</si>
  <si>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</si>
  <si>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</si>
  <si>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</si>
  <si>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Expense</t>
  </si>
  <si>
    <t>Income</t>
  </si>
  <si>
    <t>Opening balance</t>
  </si>
  <si>
    <t>Operations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</si>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</sst>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zł&quot;;[Red]\-#,##0.00\ &quot;zł&quot;"/>
    <numFmt numFmtId="165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/>
      <top/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5" fontId="0" fillId="0" borderId="0" xfId="0" applyNumberFormat="1"/>
    <xf numFmtId="165" fontId="0" fillId="0" borderId="0" xfId="1" applyNumberFormat="1" applyFont="1"/>
    <xf numFmtId="165" fontId="0" fillId="2" borderId="8" xfId="0" applyNumberFormat="1" applyFill="1" applyBorder="1"/>
    <xf numFmtId="165" fontId="0" fillId="0" borderId="8" xfId="0" applyNumberFormat="1" applyBorder="1"/>
    <xf numFmtId="165" fontId="0" fillId="0" borderId="8" xfId="0" applyNumberFormat="1" applyBorder="1" applyAlignment="1">
      <alignment horizontal="right"/>
    </xf>
  </cellXfs>
  <cellStyles count="2">
    <cellStyle name="Currency" xfId="1" builtinId="4"/>
    <cellStyle name="Normal" xfId="0" builtinId="0"/>
  </cellStyles>
  <dxfs count="160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 outline="0">
        <top style="thin">
          <color theme="8"/>
        </top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Operations" displayName="Operations" ref="A1:G207" totalsRowShown="0" headerRowDxfId="159" dataDxfId="158">
  <autoFilter ref="A1:G207" xr:uid="{77EA216C-FFD9-4A05-BF08-B832A43E3520}"/>
  <tableColumns count="7">
    <tableColumn id="1" xr3:uid="{68ACE8F2-D3B7-4A07-A81C-AF60D2DE6312}" name="Amount" dataDxfId="157"/>
    <tableColumn id="2" xr3:uid="{7254576B-CAD8-4BF8-91A7-FCE7DBDF3336}" name="Bank" dataDxfId="156"/>
    <tableColumn id="3" xr3:uid="{B4A67B35-2B8C-48AF-AB70-F7C5686F9E6F}" name="Product" dataDxfId="155"/>
    <tableColumn id="4" xr3:uid="{0AA0F34C-1B3B-40BD-A2ED-C43E9ACECCE2}" name="Category" dataDxfId="154"/>
    <tableColumn id="5" xr3:uid="{B0DC3548-A9AA-420A-8564-5F10AFE241CF}" name="Type" dataDxfId="153">
      <calculatedColumnFormula>_xlfn.XLOOKUP(Operations[[#This Row],[Category]],Categories[Category],Categories[Type],"",0,1)</calculatedColumnFormula>
    </tableColumn>
    <tableColumn id="6" xr3:uid="{2C72B247-1CFD-44D6-BDA9-F9D0BB401FA1}" name="Date" dataDxfId="152"/>
    <tableColumn id="7" xr3:uid="{4E65CCC6-D609-484D-A68A-DC8E888AFEE9}" name="Month" dataDxfId="151">
      <calculatedColumnFormula>MONTH(Operations[[#This Row],[Date]])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Categories" displayName="Categories" ref="A1:B17" totalsRowShown="0"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150"/>
    <tableColumn id="2" xr3:uid="{0EA9F851-FCD1-470B-9F83-640CF24D733D}" name="Typ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A4D65-F7F8-4FF8-B48C-2B158C3B31C6}" name="Products" displayName="Products" ref="D1:E8" totalsRowShown="0" headerRowDxfId="149" headerRowBorderDxfId="148" tableBorderDxfId="147" totalsRowBorderDxfId="146">
  <autoFilter ref="D1:E8" xr:uid="{450A4D65-F7F8-4FF8-B48C-2B158C3B31C6}"/>
  <tableColumns count="2">
    <tableColumn id="1" xr3:uid="{938E7DBC-A5D8-4A0A-81BC-7FBA960E15FF}" name="Bank" dataDxfId="145"/>
    <tableColumn id="2" xr3:uid="{78EC58BA-0ADB-4548-A7D8-AA9F748E476D}" name="Product" dataDxfId="144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D562A9-F9E2-4C9C-8D95-0E17986C0E65}" name="flow_1" displayName="flow_1" ref="A1:E9" totalsRowCount="1">
  <autoFilter ref="A1:E8" xr:uid="{80D562A9-F9E2-4C9C-8D95-0E17986C0E65}"/>
  <tableColumns count="5">
    <tableColumn id="1" xr3:uid="{D69FBA30-DFFB-446B-9FBF-5E97BD78C3CA}" name="Bank" totalsRowLabel="Total"/>
    <tableColumn id="2" xr3:uid="{4683521F-7DEE-497A-9B88-34F8B726F150}" name="Product"/>
    <tableColumn id="3" xr3:uid="{4F23046C-5622-41AD-81B8-18016673E8E8}" name="Opening balance" totalsRowFunction="sum" dataDxfId="143" totalsRowDxfId="142"/>
    <tableColumn id="4" xr3:uid="{C1B3318E-CBE3-48C8-AA19-1D458810CFC5}" name="Operations" totalsRowFunction="sum" dataDxfId="141" totalsRowDxfId="140"/>
    <tableColumn id="5" xr3:uid="{23D916BA-B9F7-4FE5-B539-BF9537320EB0}" name="Closing balance" totalsRowFunction="sum" dataDxfId="139" totalsRowDxfId="138">
      <calculatedColumnFormula>flow_1[[#This Row],[Opening balance]]+flow_1[[#This Row],[Operations]]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2DEC7-0B78-40C8-9252-1A8D002EAA83}" name="incomes_1" displayName="incomes_1" ref="G1:H8" totalsRowCount="1">
  <autoFilter ref="G1:H7" xr:uid="{1712DEC7-0B78-40C8-9252-1A8D002EAA83}"/>
  <tableColumns count="2">
    <tableColumn id="1" xr3:uid="{701BD3B4-A0BA-4F4F-9E33-437719A8152A}" name="Category" totalsRowLabel="Total"/>
    <tableColumn id="2" xr3:uid="{8D81C15E-B2D3-45AC-86B7-7DD90C29BF82}" name="Total" totalsRowFunction="sum" dataDxfId="137" totalsRowDxfId="136" totalsRowCellStyle="Currency">
      <calculatedColumnFormula>SUMIFS(Operations[Amount],Operations[Month],$B$11,Operations[Category],incomes_1[[#This Row],[Category]])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993199-784C-4C78-92FB-D97117058C0A}" name="expenses_1" displayName="expenses_1" ref="J1:K11" totalsRowCount="1">
  <autoFilter ref="J1:K10" xr:uid="{B8993199-784C-4C78-92FB-D97117058C0A}"/>
  <tableColumns count="2">
    <tableColumn id="1" xr3:uid="{FB22EFEF-B864-4BB5-A3AA-4B16464AE00F}" name="Category" totalsRowLabel="Total"/>
    <tableColumn id="2" xr3:uid="{4442B4E8-F5FC-41A7-869D-7C8BC7B99260}" name="Total" totalsRowFunction="sum" dataDxfId="135" totalsRowDxfId="134">
      <calculatedColumnFormula>SUMIFS(Operations[Amount],Operations[Month],$B$11,Operations[Category],expenses_1[[#This Row],[Category]])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2A086C-440E-4F23-8427-E1F30198C746}" name="balance_1" displayName="balance_1" ref="A13:B17" totalsRowCount="1">
  <autoFilter ref="A13:B16" xr:uid="{EF2A086C-440E-4F23-8427-E1F30198C746}"/>
  <tableColumns count="2">
    <tableColumn id="1" xr3:uid="{CB116638-9A15-44A9-9ED2-A8362C2CFA9E}" name="Type" totalsRowLabel="Total"/>
    <tableColumn id="2" xr3:uid="{C15C2FC0-F6B4-4A2E-8189-AF6137DAEAE1}" name="Total" totalsRowFunction="sum" dataDxfId="133" totalsRowDxfId="132">
      <calculatedColumnFormula>SUMIFS(Operations[Amount],Operations[Month],$B$11,Operations[Type],balance_1[[#This Row],[Type]])</calculatedColumnFormula>
    </tableColumn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630FE-0E73-4F70-B6CB-3DF1FE7885A5}" name="flow_2" displayName="flow_2" ref="A1:E9" totalsRowCount="1">
  <autoFilter ref="A1:E8" xr:uid="{80D562A9-F9E2-4C9C-8D95-0E17986C0E65}"/>
  <tableColumns count="5">
    <tableColumn id="1" xr3:uid="{22D4EA5C-529C-40F8-8127-7EFBB35F134B}" name="Bank" totalsRowLabel="Total"/>
    <tableColumn id="2" xr3:uid="{8E9F57AE-23C0-4FDE-A5FE-AB07655D2434}" name="Product"/>
    <tableColumn id="3" xr3:uid="{45CEE658-BA6A-4306-8FDE-F3947CECDF0E}" name="Opening balance" totalsRowFunction="sum" dataDxfId="131" totalsRowDxfId="130">
      <calculatedColumnFormula array="1">INDIRECT("flow_"&amp;$B$11-1&amp;"[@[Closing balance]]")</calculatedColumnFormula>
    </tableColumn>
    <tableColumn id="4" xr3:uid="{5F4149EA-1373-4158-B18E-92BD4E9CDE12}" name="Operations" totalsRowFunction="sum" dataDxfId="129" totalsRowDxfId="128">
      <calculatedColumnFormula>SUMIFS(Operations[Amount],Operations[Bank],flow_2[[#This Row],[Bank]],Operations[Product],flow_2[[#This Row],[Product]],Operations[Month],$B$11)</calculatedColumnFormula>
    </tableColumn>
    <tableColumn id="5" xr3:uid="{318A20D8-E374-4F35-9EAF-D3BECB9D8C1E}" name="Closing balance" totalsRowFunction="sum" dataDxfId="127" totalsRowDxfId="126">
      <calculatedColumnFormula>flow_2[[#This Row],[Opening balance]]+flow_2[[#This Row],[Operations]]</calculatedColumnFormula>
    </tableColumn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12B552-1642-46B9-BDED-EE0F1E71E61C}" name="incomes_2" displayName="incomes_2" ref="G1:H8" totalsRowCount="1">
  <autoFilter ref="G1:H7" xr:uid="{1712DEC7-0B78-40C8-9252-1A8D002EAA83}"/>
  <tableColumns count="2">
    <tableColumn id="1" xr3:uid="{0B92379C-6D87-4D29-977C-93A425206C30}" name="Category" totalsRowLabel="Total"/>
    <tableColumn id="2" xr3:uid="{685B61BC-9354-4D23-97A7-620C94E049BC}" name="Total" totalsRowFunction="sum" dataDxfId="125" totalsRowDxfId="124" totalsRowCellStyle="Currency">
      <calculatedColumnFormula>SUMIFS(Operations[Amount],Operations[Month],$B$11,Operations[Category],incomes_2[[#This Row],[Category]])</calculatedColumnFormula>
    </tableColumn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E50E5C-CEEA-4563-99BC-111FAF4FC305}" name="expenses_2" displayName="expenses_2" ref="J1:K11" totalsRowCount="1">
  <autoFilter ref="J1:K10" xr:uid="{B8993199-784C-4C78-92FB-D97117058C0A}"/>
  <tableColumns count="2">
    <tableColumn id="1" xr3:uid="{699CBD6C-33D0-463D-ADFE-57507E05F743}" name="Category" totalsRowLabel="Total"/>
    <tableColumn id="2" xr3:uid="{C7B9FFFA-21F4-4421-9406-36F18673E81B}" name="Total" totalsRowFunction="sum" dataDxfId="123" totalsRowDxfId="122">
      <calculatedColumnFormula>SUMIFS(Operations[Amount],Operations[Month],$B$11,Operations[Category],expenses_2[[#This Row],[Category]])</calculatedColumnFormula>
    </tableColumn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8E554E-A631-4C9B-AF05-9E2C3A1FFC7F}" name="balance_2" displayName="balance_2" ref="A13:B17" totalsRowCount="1">
  <autoFilter ref="A13:B16" xr:uid="{EF2A086C-440E-4F23-8427-E1F30198C746}"/>
  <tableColumns count="2">
    <tableColumn id="1" xr3:uid="{E8AE6C4C-E753-485F-93FC-2A58E962E254}" name="Type" totalsRowLabel="Total"/>
    <tableColumn id="2" xr3:uid="{C9C3A8FC-CD55-4B08-BF45-FE5E3A7B18BB}" name="Total" totalsRowFunction="sum" dataDxfId="121" totalsRowDxfId="120">
      <calculatedColumnFormula>SUMIFS(Operations[Amount],Operations[Month],$B$11,Operations[Type],balance_2[[#This Row],[Type]])</calculatedColumnFormula>
    </tableColumn>
  </tableColumns>
  <tableStyleInfo name="TableStyleLight2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4CD088-6872-4D16-8282-8F45077E8B87}" name="flow_3" displayName="flow_3" ref="A1:E9" totalsRowCount="1">
  <autoFilter ref="A1:E8" xr:uid="{80D562A9-F9E2-4C9C-8D95-0E17986C0E65}"/>
  <tableColumns count="5">
    <tableColumn id="1" xr3:uid="{87C19746-963A-4549-8043-6C07A52EDA5E}" name="Bank" totalsRowLabel="Total"/>
    <tableColumn id="2" xr3:uid="{8896C540-7706-48AF-AD41-1B631FFFDDD4}" name="Product"/>
    <tableColumn id="3" xr3:uid="{EFF305B7-E1FA-4316-A913-2FBB3460040F}" name="Opening balance" totalsRowFunction="sum" dataDxfId="119" totalsRowDxfId="118">
      <calculatedColumnFormula array="1">INDIRECT("flow_"&amp;$B$11-1&amp;"[@[Closing balance]]")</calculatedColumnFormula>
    </tableColumn>
    <tableColumn id="4" xr3:uid="{78A079FE-F5CC-425C-A96A-C098027F31CB}" name="Operations" totalsRowFunction="sum" dataDxfId="117" totalsRowDxfId="116">
      <calculatedColumnFormula>SUMIFS(Operations[Amount],Operations[Bank],flow_3[[#This Row],[Bank]],Operations[Product],flow_3[[#This Row],[Product]],Operations[Month],$B$11)</calculatedColumnFormula>
    </tableColumn>
    <tableColumn id="5" xr3:uid="{63419680-4F2F-467D-9BB1-886DF4A9B6DF}" name="Closing balance" totalsRowFunction="sum" dataDxfId="115" totalsRowDxfId="114">
      <calculatedColumnFormula>flow_3[[#This Row],[Opening balance]]+flow_3[[#This Row],[Operations]]</calculatedColumnFormula>
    </tableColumn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EF0EE9-767A-46A0-A405-FF58513A4CD9}" name="incomes_3" displayName="incomes_3" ref="G1:H8" totalsRowCount="1">
  <autoFilter ref="G1:H7" xr:uid="{1712DEC7-0B78-40C8-9252-1A8D002EAA83}"/>
  <tableColumns count="2">
    <tableColumn id="1" xr3:uid="{DD2F88AA-284A-44B2-8701-0917A1BD6E68}" name="Category" totalsRowLabel="Total"/>
    <tableColumn id="2" xr3:uid="{29D740E7-DA8A-41D3-9E74-20FD516B7BFC}" name="Total" totalsRowFunction="sum" dataDxfId="113" totalsRowDxfId="112" totalsRowCellStyle="Currency">
      <calculatedColumnFormula>SUMIFS(Operations[Amount],Operations[Month],$B$11,Operations[Category],incomes_3[[#This Row],[Category]])</calculatedColumnFormula>
    </tableColumn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FD95F8-4196-4361-ACBF-9C8409AABA2C}" name="expenses_3" displayName="expenses_3" ref="J1:K11" totalsRowCount="1">
  <autoFilter ref="J1:K10" xr:uid="{B8993199-784C-4C78-92FB-D97117058C0A}"/>
  <tableColumns count="2">
    <tableColumn id="1" xr3:uid="{62D777E6-6C0C-45DD-B0B7-EC95102967F5}" name="Category" totalsRowLabel="Total"/>
    <tableColumn id="2" xr3:uid="{2D571EDC-45C9-4E7B-9C97-BA79C0A2D695}" name="Total" totalsRowFunction="sum" dataDxfId="111" totalsRowDxfId="110">
      <calculatedColumnFormula>SUMIFS(Operations[Amount],Operations[Month],$B$11,Operations[Category],expenses_3[[#This Row],[Category]])</calculatedColumnFormula>
    </tableColumn>
  </tableColumns>
  <tableStyleInfo name="TableStyleLight2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F862DB-C2AB-4E65-A521-9C62F4C510EE}" name="balance_3" displayName="balance_3" ref="A13:B17" totalsRowCount="1">
  <autoFilter ref="A13:B16" xr:uid="{EF2A086C-440E-4F23-8427-E1F30198C746}"/>
  <tableColumns count="2">
    <tableColumn id="1" xr3:uid="{A4821B70-21B6-4F36-BF8A-E76F01C76E85}" name="Type" totalsRowLabel="Total"/>
    <tableColumn id="2" xr3:uid="{EB12641A-8C98-490D-B952-DE69223AF23E}" name="Total" totalsRowFunction="sum" dataDxfId="109" totalsRowDxfId="108">
      <calculatedColumnFormula>SUMIFS(Operations[Amount],Operations[Month],$B$11,Operations[Type],balance_3[[#This Row],[Type]])</calculatedColumnFormula>
    </tableColumn>
  </tableColumns>
  <tableStyleInfo name="TableStyleLight2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6A28C42-315E-4F4C-96F0-2BCBECD1A19F}" name="flow_4" displayName="flow_4" ref="A1:E9" totalsRowCount="1">
  <autoFilter ref="A1:E8" xr:uid="{80D562A9-F9E2-4C9C-8D95-0E17986C0E65}"/>
  <tableColumns count="5">
    <tableColumn id="1" xr3:uid="{12478312-58F4-46A2-93A7-7E4D9A349C1C}" name="Bank" totalsRowLabel="Total"/>
    <tableColumn id="2" xr3:uid="{2ABA3AFA-9190-4628-ABBE-DDA91B6B65E9}" name="Product"/>
    <tableColumn id="3" xr3:uid="{2E6FDB9D-63E9-42B2-8F94-CD1AAD5BA130}" name="Opening balance" totalsRowFunction="sum" dataDxfId="107" totalsRowDxfId="106">
      <calculatedColumnFormula array="1">INDIRECT("flow_"&amp;$B$11-1&amp;"[@[Closing balance]]")</calculatedColumnFormula>
    </tableColumn>
    <tableColumn id="4" xr3:uid="{8ECF9917-F0AC-49FF-9EAF-27A6170C8390}" name="Operations" totalsRowFunction="sum" dataDxfId="105" totalsRowDxfId="104">
      <calculatedColumnFormula>SUMIFS(Operations[Amount],Operations[Bank],flow_4[[#This Row],[Bank]],Operations[Product],flow_4[[#This Row],[Product]],Operations[Month],$B$11)</calculatedColumnFormula>
    </tableColumn>
    <tableColumn id="5" xr3:uid="{0A41327D-0B05-490C-91B9-DDCBA2A0D98D}" name="Closing balance" totalsRowFunction="sum" dataDxfId="103" totalsRowDxfId="102">
      <calculatedColumnFormula>flow_4[[#This Row],[Opening balance]]+flow_4[[#This Row],[Operations]]</calculatedColumnFormula>
    </tableColumn>
  </tableColumns>
  <tableStyleInfo name="TableStyleLight2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5CE092A-5ADA-4683-8E95-B094254C7E9E}" name="incomes_4" displayName="incomes_4" ref="G1:H8" totalsRowCount="1">
  <autoFilter ref="G1:H7" xr:uid="{1712DEC7-0B78-40C8-9252-1A8D002EAA83}"/>
  <tableColumns count="2">
    <tableColumn id="1" xr3:uid="{C81CBE94-1094-414A-916A-6C98ED74783B}" name="Category" totalsRowLabel="Total"/>
    <tableColumn id="2" xr3:uid="{5776668A-A59B-492A-8FF8-37693684F450}" name="Total" totalsRowFunction="sum" dataDxfId="101" totalsRowDxfId="100" totalsRowCellStyle="Currency">
      <calculatedColumnFormula>SUMIFS(Operations[Amount],Operations[Month],$B$11,Operations[Category],incomes_4[[#This Row],[Category]])</calculatedColumnFormula>
    </tableColumn>
  </tableColumns>
  <tableStyleInfo name="TableStyleLight2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ED745E-C609-48E7-8CD5-63F76B7C9D72}" name="expenses_4" displayName="expenses_4" ref="J1:K11" totalsRowCount="1">
  <autoFilter ref="J1:K10" xr:uid="{B8993199-784C-4C78-92FB-D97117058C0A}"/>
  <tableColumns count="2">
    <tableColumn id="1" xr3:uid="{F558EB55-83F0-4E14-8070-B575B322E2B0}" name="Category" totalsRowLabel="Total"/>
    <tableColumn id="2" xr3:uid="{143F9C03-83F5-4DEB-9109-E697C2F85F4C}" name="Total" totalsRowFunction="sum" dataDxfId="99" totalsRowDxfId="98">
      <calculatedColumnFormula>SUMIFS(Operations[Amount],Operations[Month],$B$11,Operations[Category],expenses_4[[#This Row],[Category]])</calculatedColumnFormula>
    </tableColumn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6E6F5AD-3711-4CF0-9B33-0D897D445085}" name="balance_4" displayName="balance_4" ref="A13:B17" totalsRowCount="1">
  <autoFilter ref="A13:B16" xr:uid="{EF2A086C-440E-4F23-8427-E1F30198C746}"/>
  <tableColumns count="2">
    <tableColumn id="1" xr3:uid="{4270FC05-B8B4-430A-92C0-900A4C17C280}" name="Type" totalsRowLabel="Total"/>
    <tableColumn id="2" xr3:uid="{C747B502-B7DA-402D-8156-B08783228A6D}" name="Total" totalsRowFunction="sum" dataDxfId="97" totalsRowDxfId="96">
      <calculatedColumnFormula>SUMIFS(Operations[Amount],Operations[Month],$B$11,Operations[Type],balance_4[[#This Row],[Type]])</calculatedColumnFormula>
    </tableColumn>
  </tableColumns>
  <tableStyleInfo name="TableStyleLight2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1F694E1-E166-4E3B-B189-1BBE69507F74}" name="flow_5" displayName="flow_5" ref="A1:E9" totalsRowCount="1">
  <autoFilter ref="A1:E8" xr:uid="{80D562A9-F9E2-4C9C-8D95-0E17986C0E65}"/>
  <tableColumns count="5">
    <tableColumn id="1" xr3:uid="{F7219490-C67F-4F3E-AA70-5921DF32E073}" name="Bank" totalsRowLabel="Total"/>
    <tableColumn id="2" xr3:uid="{CA8DF16A-A0C7-4F4E-B08D-E10FB5A56EDE}" name="Product"/>
    <tableColumn id="3" xr3:uid="{E163FE33-7E6D-4849-8C63-4CC61F37D60E}" name="Opening balance" totalsRowFunction="sum" dataDxfId="95" totalsRowDxfId="94">
      <calculatedColumnFormula array="1">INDIRECT("flow_"&amp;$B$11-1&amp;"[@[Closing balance]]")</calculatedColumnFormula>
    </tableColumn>
    <tableColumn id="4" xr3:uid="{D4D5668B-73FA-4CCD-A057-B92174EE999B}" name="Operations" totalsRowFunction="sum" dataDxfId="93" totalsRowDxfId="92">
      <calculatedColumnFormula>SUMIFS(Operations[Amount],Operations[Bank],flow_5[[#This Row],[Bank]],Operations[Product],flow_5[[#This Row],[Product]],Operations[Month],$B$11)</calculatedColumnFormula>
    </tableColumn>
    <tableColumn id="5" xr3:uid="{91AE75A6-CC7E-4849-A8F9-C939CE16F5F9}" name="Closing balance" totalsRowFunction="sum" dataDxfId="91" totalsRowDxfId="90">
      <calculatedColumnFormula>flow_5[[#This Row],[Opening balance]]+flow_5[[#This Row],[Operations]]</calculatedColumnFormula>
    </tableColumn>
  </tableColumns>
  <tableStyleInfo name="TableStyleLight2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D7A6310-DE0A-4822-AE96-7A01B6FE71AD}" name="incomes_5" displayName="incomes_5" ref="G1:H8" totalsRowCount="1">
  <autoFilter ref="G1:H7" xr:uid="{1712DEC7-0B78-40C8-9252-1A8D002EAA83}"/>
  <tableColumns count="2">
    <tableColumn id="1" xr3:uid="{90ADA4A5-9045-46BC-9C1E-32F0AE21680D}" name="Category" totalsRowLabel="Total"/>
    <tableColumn id="2" xr3:uid="{873686E0-FDA7-406A-8470-F07D5D212D01}" name="Total" totalsRowFunction="sum" dataDxfId="89" totalsRowDxfId="88" totalsRowCellStyle="Currency">
      <calculatedColumnFormula>SUMIFS(Operations[Amount],Operations[Month],$B$11,Operations[Category],incomes_5[[#This Row],[Category]])</calculatedColumnFormula>
    </tableColumn>
  </tableColumns>
  <tableStyleInfo name="TableStyleLight2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EBDAF1F-91CA-4E07-B892-43F339A1751E}" name="expenses_5" displayName="expenses_5" ref="J1:K11" totalsRowCount="1">
  <autoFilter ref="J1:K10" xr:uid="{B8993199-784C-4C78-92FB-D97117058C0A}"/>
  <tableColumns count="2">
    <tableColumn id="1" xr3:uid="{8F7C35C7-7893-407C-8123-3AAE57813AB2}" name="Category" totalsRowLabel="Total"/>
    <tableColumn id="2" xr3:uid="{F389CD2B-9C1F-4B68-B7CB-BC65E9C3BE9B}" name="Total" totalsRowFunction="sum" dataDxfId="87" totalsRowDxfId="86">
      <calculatedColumnFormula>SUMIFS(Operations[Amount],Operations[Month],$B$11,Operations[Category],expenses_5[[#This Row],[Category]])</calculatedColumnFormula>
    </tableColumn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C1B3077-FD72-478A-9ADE-45489BB3E512}" name="balance_5" displayName="balance_5" ref="A13:B17" totalsRowCount="1">
  <autoFilter ref="A13:B16" xr:uid="{EF2A086C-440E-4F23-8427-E1F30198C746}"/>
  <tableColumns count="2">
    <tableColumn id="1" xr3:uid="{1D7B0556-0A2F-48EB-8BE1-956189D9EF7C}" name="Type" totalsRowLabel="Total"/>
    <tableColumn id="2" xr3:uid="{2E3D92D4-9162-4D1C-978E-5C1485913926}" name="Total" totalsRowFunction="sum" dataDxfId="85" totalsRowDxfId="84">
      <calculatedColumnFormula>SUMIFS(Operations[Amount],Operations[Month],$B$11,Operations[Type],balance_5[[#This Row],[Type]])</calculatedColumnFormula>
    </tableColumn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2EC8BB-6DBB-4FB3-8F1E-36537ADF344C}" name="flow_6" displayName="flow_6" ref="A1:E9" totalsRowCount="1">
  <autoFilter ref="A1:E8" xr:uid="{80D562A9-F9E2-4C9C-8D95-0E17986C0E65}"/>
  <tableColumns count="5">
    <tableColumn id="1" xr3:uid="{77453447-D590-4AD7-A869-D54CAA3D0B57}" name="Bank" totalsRowLabel="Total"/>
    <tableColumn id="2" xr3:uid="{73B54E14-6954-4B6B-8B2D-60F4C7EEC609}" name="Product"/>
    <tableColumn id="3" xr3:uid="{E57FBDC5-6740-4E9B-AC04-9D6AFCBDBE74}" name="Opening balance" totalsRowFunction="sum" dataDxfId="83" totalsRowDxfId="82">
      <calculatedColumnFormula array="1">INDIRECT("flow_"&amp;$B$11-1&amp;"[@[Closing balance]]")</calculatedColumnFormula>
    </tableColumn>
    <tableColumn id="4" xr3:uid="{D141BCC2-EFC6-43E4-8453-E9D9B5337681}" name="Operations" totalsRowFunction="sum" dataDxfId="81" totalsRowDxfId="80">
      <calculatedColumnFormula>SUMIFS(Operations[Amount],Operations[Bank],flow_6[[#This Row],[Bank]],Operations[Product],flow_6[[#This Row],[Product]],Operations[Month],$B$11)</calculatedColumnFormula>
    </tableColumn>
    <tableColumn id="5" xr3:uid="{AA8EE454-28A3-45D7-ABB3-709D34D2F2A7}" name="Closing balance" totalsRowFunction="sum" dataDxfId="79" totalsRowDxfId="78">
      <calculatedColumnFormula>flow_6[[#This Row],[Opening balance]]+flow_6[[#This Row],[Operations]]</calculatedColumnFormula>
    </tableColumn>
  </tableColumns>
  <tableStyleInfo name="TableStyleLight2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6CC91CA-6F0F-4904-B30C-7B7749F7BAF3}" name="incomes_6" displayName="incomes_6" ref="G1:H8" totalsRowCount="1">
  <autoFilter ref="G1:H7" xr:uid="{1712DEC7-0B78-40C8-9252-1A8D002EAA83}"/>
  <tableColumns count="2">
    <tableColumn id="1" xr3:uid="{5AE70062-3BED-402D-B16E-839A763C868B}" name="Category" totalsRowLabel="Total"/>
    <tableColumn id="2" xr3:uid="{060D7BB7-7710-4383-9091-DA185C84E1D5}" name="Total" totalsRowFunction="sum" dataDxfId="77" totalsRowDxfId="76" totalsRowCellStyle="Currency">
      <calculatedColumnFormula>SUMIFS(Operations[Amount],Operations[Month],$B$11,Operations[Category],incomes_6[[#This Row],[Category]])</calculatedColumnFormula>
    </tableColumn>
  </tableColumns>
  <tableStyleInfo name="TableStyleLight2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105E874-78C0-4EBB-9145-CC0A3B82E069}" name="expenses_6" displayName="expenses_6" ref="J1:K11" totalsRowCount="1">
  <autoFilter ref="J1:K10" xr:uid="{B8993199-784C-4C78-92FB-D97117058C0A}"/>
  <tableColumns count="2">
    <tableColumn id="1" xr3:uid="{8E396DAA-635A-4E5C-A26B-CB39CD6C9F1C}" name="Category" totalsRowLabel="Total"/>
    <tableColumn id="2" xr3:uid="{3B683115-657C-40A2-AF70-D3D92929ACF3}" name="Total" totalsRowFunction="sum" dataDxfId="75" totalsRowDxfId="74">
      <calculatedColumnFormula>SUMIFS(Operations[Amount],Operations[Month],$B$11,Operations[Category],expenses_6[[#This Row],[Category]])</calculatedColumnFormula>
    </tableColumn>
  </tableColumns>
  <tableStyleInfo name="TableStyleLight2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14C340-5DF0-4086-9043-600729DE9BB8}" name="balance_6" displayName="balance_6" ref="A13:B17" totalsRowCount="1">
  <autoFilter ref="A13:B16" xr:uid="{EF2A086C-440E-4F23-8427-E1F30198C746}"/>
  <tableColumns count="2">
    <tableColumn id="1" xr3:uid="{516501D5-0C64-46E6-99C3-EBF6AB9F2F67}" name="Type" totalsRowLabel="Total"/>
    <tableColumn id="2" xr3:uid="{8550A196-4641-4402-9812-5AD8783B6A21}" name="Total" totalsRowFunction="sum" dataDxfId="73" totalsRowDxfId="72">
      <calculatedColumnFormula>SUMIFS(Operations[Amount],Operations[Month],$B$11,Operations[Type],balance_6[[#This Row],[Type]])</calculatedColumnFormula>
    </tableColumn>
  </tableColumns>
  <tableStyleInfo name="TableStyleLight2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FF9E22A-6CBA-4B50-9DA8-89C681351349}" name="flow_7" displayName="flow_7" ref="A1:E9" totalsRowCount="1">
  <autoFilter ref="A1:E8" xr:uid="{80D562A9-F9E2-4C9C-8D95-0E17986C0E65}"/>
  <tableColumns count="5">
    <tableColumn id="1" xr3:uid="{7DE15E1C-197F-46AF-AD74-40F96D314691}" name="Bank" totalsRowLabel="Total"/>
    <tableColumn id="2" xr3:uid="{1A77508C-E320-4CDF-9FA0-7D0A10304B4B}" name="Product"/>
    <tableColumn id="3" xr3:uid="{E2EAA674-DB68-43DB-A291-0735C22FF94E}" name="Opening balance" totalsRowFunction="sum" dataDxfId="71" totalsRowDxfId="70">
      <calculatedColumnFormula array="1">INDIRECT("flow_"&amp;$B$11-1&amp;"[@[Closing balance]]")</calculatedColumnFormula>
    </tableColumn>
    <tableColumn id="4" xr3:uid="{921A36B3-2F3E-4DD4-A398-ECAEE3F9E33A}" name="Operations" totalsRowFunction="sum" dataDxfId="69" totalsRowDxfId="68">
      <calculatedColumnFormula>SUMIFS(Operations[Amount],Operations[Bank],flow_7[[#This Row],[Bank]],Operations[Product],flow_7[[#This Row],[Product]],Operations[Month],$B$11)</calculatedColumnFormula>
    </tableColumn>
    <tableColumn id="5" xr3:uid="{F77D7C20-D586-4C63-9F31-86C8E7153498}" name="Closing balance" totalsRowFunction="sum" dataDxfId="67" totalsRowDxfId="66">
      <calculatedColumnFormula>flow_7[[#This Row],[Opening balance]]+flow_7[[#This Row],[Operations]]</calculatedColumnFormula>
    </tableColumn>
  </tableColumns>
  <tableStyleInfo name="TableStyleLight2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26B3A28-6D93-4B89-A072-702CABD741EC}" name="incomes_7" displayName="incomes_7" ref="G1:H8" totalsRowCount="1">
  <autoFilter ref="G1:H7" xr:uid="{1712DEC7-0B78-40C8-9252-1A8D002EAA83}"/>
  <tableColumns count="2">
    <tableColumn id="1" xr3:uid="{3C70D425-E414-4187-B153-65593F480D48}" name="Category" totalsRowLabel="Total"/>
    <tableColumn id="2" xr3:uid="{1C84A478-FFC1-46AA-9160-4581F3E64C78}" name="Total" totalsRowFunction="sum" dataDxfId="65" totalsRowDxfId="64" totalsRowCellStyle="Currency">
      <calculatedColumnFormula>SUMIFS(Operations[Amount],Operations[Month],$B$11,Operations[Category],incomes_7[[#This Row],[Category]])</calculatedColumnFormula>
    </tableColumn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CE6CE51-4415-4E60-9BA6-5655624C7A7C}" name="expenses_7" displayName="expenses_7" ref="J1:K11" totalsRowCount="1">
  <autoFilter ref="J1:K10" xr:uid="{B8993199-784C-4C78-92FB-D97117058C0A}"/>
  <tableColumns count="2">
    <tableColumn id="1" xr3:uid="{61033908-DA2F-4274-A418-8A78B3CA0DD1}" name="Category" totalsRowLabel="Total"/>
    <tableColumn id="2" xr3:uid="{7F6D0197-3B29-49B1-A40B-12C1DF7A0F45}" name="Total" totalsRowFunction="sum" dataDxfId="63" totalsRowDxfId="62">
      <calculatedColumnFormula>SUMIFS(Operations[Amount],Operations[Month],$B$11,Operations[Category],expenses_7[[#This Row],[Category]])</calculatedColumnFormula>
    </tableColumn>
  </tableColumns>
  <tableStyleInfo name="TableStyleLight20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73CA064-6D55-44EC-B424-24F180851171}" name="balance_7" displayName="balance_7" ref="A13:B17" totalsRowCount="1">
  <autoFilter ref="A13:B16" xr:uid="{EF2A086C-440E-4F23-8427-E1F30198C746}"/>
  <tableColumns count="2">
    <tableColumn id="1" xr3:uid="{1D067B6B-5A84-49B3-B79A-9800FA84A0F0}" name="Type" totalsRowLabel="Total"/>
    <tableColumn id="2" xr3:uid="{F82E1922-4643-4D59-AB89-E63959AFF2EF}" name="Total" totalsRowFunction="sum" dataDxfId="61" totalsRowDxfId="60">
      <calculatedColumnFormula>SUMIFS(Operations[Amount],Operations[Month],$B$11,Operations[Type],balance_7[[#This Row],[Type]])</calculatedColumnFormula>
    </tableColumn>
  </tableColumns>
  <tableStyleInfo name="TableStyleLight20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A7DF9FC-C30F-463F-8A61-A752B9E009BE}" name="flow_8" displayName="flow_8" ref="A1:E9" totalsRowCount="1">
  <autoFilter ref="A1:E8" xr:uid="{80D562A9-F9E2-4C9C-8D95-0E17986C0E65}"/>
  <tableColumns count="5">
    <tableColumn id="1" xr3:uid="{A69B31A9-6D04-436E-8D86-83C7FF41F4AA}" name="Bank" totalsRowLabel="Total"/>
    <tableColumn id="2" xr3:uid="{A209EABD-DCFC-4850-8969-DD7F2A26D035}" name="Product"/>
    <tableColumn id="3" xr3:uid="{93D16169-71E9-415A-869B-11C47F847C56}" name="Opening balance" totalsRowFunction="sum" dataDxfId="59" totalsRowDxfId="58">
      <calculatedColumnFormula array="1">INDIRECT("flow_"&amp;$B$11-1&amp;"[@[Closing balance]]")</calculatedColumnFormula>
    </tableColumn>
    <tableColumn id="4" xr3:uid="{0DD3E8C6-A064-4478-9590-26152DE02F1A}" name="Operations" totalsRowFunction="sum" dataDxfId="57" totalsRowDxfId="56">
      <calculatedColumnFormula>SUMIFS(Operations[Amount],Operations[Bank],flow_8[[#This Row],[Bank]],Operations[Product],flow_8[[#This Row],[Product]],Operations[Month],$B$11)</calculatedColumnFormula>
    </tableColumn>
    <tableColumn id="5" xr3:uid="{7D24FECB-A82E-46CA-8643-6D484E2C16CA}" name="Closing balance" totalsRowFunction="sum" dataDxfId="55" totalsRowDxfId="54">
      <calculatedColumnFormula>flow_8[[#This Row],[Opening balance]]+flow_8[[#This Row],[Operations]]</calculatedColumnFormula>
    </tableColumn>
  </tableColumns>
  <tableStyleInfo name="TableStyleLight20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1F2CEA4-CB63-4CFA-8D65-DEF05AF63CC9}" name="incomes_8" displayName="incomes_8" ref="G1:H8" totalsRowCount="1">
  <autoFilter ref="G1:H7" xr:uid="{1712DEC7-0B78-40C8-9252-1A8D002EAA83}"/>
  <tableColumns count="2">
    <tableColumn id="1" xr3:uid="{7BA75183-417A-4FC6-84E7-448BC22A89F2}" name="Category" totalsRowLabel="Total"/>
    <tableColumn id="2" xr3:uid="{2DF9AFC1-BB32-403C-8186-1EBE21B9A343}" name="Total" totalsRowFunction="sum" dataDxfId="53" totalsRowDxfId="52" totalsRowCellStyle="Currency">
      <calculatedColumnFormula>SUMIFS(Operations[Amount],Operations[Month],$B$11,Operations[Category],incomes_8[[#This Row],[Category]])</calculatedColumnFormula>
    </tableColumn>
  </tableColumns>
  <tableStyleInfo name="TableStyleLight2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EBF732B-2D61-4D1D-913F-5F8B6328A90B}" name="expenses_8" displayName="expenses_8" ref="J1:K11" totalsRowCount="1">
  <autoFilter ref="J1:K10" xr:uid="{B8993199-784C-4C78-92FB-D97117058C0A}"/>
  <tableColumns count="2">
    <tableColumn id="1" xr3:uid="{8F5B2483-844B-4877-A4BD-FA851DEC40FA}" name="Category" totalsRowLabel="Total"/>
    <tableColumn id="2" xr3:uid="{571D90B1-7C4C-4CBE-9ABC-9205C337CB31}" name="Total" totalsRowFunction="sum" dataDxfId="51" totalsRowDxfId="50">
      <calculatedColumnFormula>SUMIFS(Operations[Amount],Operations[Month],$B$11,Operations[Category],expenses_8[[#This Row],[Category]])</calculatedColumnFormula>
    </tableColumn>
  </tableColumns>
  <tableStyleInfo name="TableStyleLight20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832DA57-E154-4C5D-9B5F-B3FCC437B228}" name="balance_8" displayName="balance_8" ref="A13:B17" totalsRowCount="1">
  <autoFilter ref="A13:B16" xr:uid="{EF2A086C-440E-4F23-8427-E1F30198C746}"/>
  <tableColumns count="2">
    <tableColumn id="1" xr3:uid="{39FA289A-2FDD-470E-AD04-9DC624893AFD}" name="Type" totalsRowLabel="Total"/>
    <tableColumn id="2" xr3:uid="{CBF6892E-0D93-444A-B25F-E0889B20CD21}" name="Total" totalsRowFunction="sum" dataDxfId="49" totalsRowDxfId="48">
      <calculatedColumnFormula>SUMIFS(Operations[Amount],Operations[Month],$B$11,Operations[Type],balance_8[[#This Row],[Type]])</calculatedColumnFormula>
    </tableColumn>
  </tableColumns>
  <tableStyleInfo name="TableStyleLight2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16E5737-90F4-4B66-A1C4-F34D946F0E52}" name="flow_9" displayName="flow_9" ref="A1:E9" totalsRowCount="1">
  <autoFilter ref="A1:E8" xr:uid="{80D562A9-F9E2-4C9C-8D95-0E17986C0E65}"/>
  <tableColumns count="5">
    <tableColumn id="1" xr3:uid="{C8CF5F74-876A-4126-9B8F-08B57493C900}" name="Bank" totalsRowLabel="Total"/>
    <tableColumn id="2" xr3:uid="{0927DC28-46C3-4C4E-ADA9-66459DD3FBF2}" name="Product"/>
    <tableColumn id="3" xr3:uid="{F79E5959-63E6-40EC-918D-FEDA6E62A267}" name="Opening balance" totalsRowFunction="sum" dataDxfId="47" totalsRowDxfId="46">
      <calculatedColumnFormula array="1">INDIRECT("flow_"&amp;$B$11-1&amp;"[@[Closing balance]]")</calculatedColumnFormula>
    </tableColumn>
    <tableColumn id="4" xr3:uid="{BDA4F767-0E22-49C0-BB89-842D31C88597}" name="Operations" totalsRowFunction="sum" dataDxfId="45" totalsRowDxfId="44">
      <calculatedColumnFormula>SUMIFS(Operations[Amount],Operations[Bank],flow_9[[#This Row],[Bank]],Operations[Product],flow_9[[#This Row],[Product]],Operations[Month],$B$11)</calculatedColumnFormula>
    </tableColumn>
    <tableColumn id="5" xr3:uid="{A6F633F3-FC34-43D9-AF3B-F4A0A3EBB150}" name="Closing balance" totalsRowFunction="sum" dataDxfId="43" totalsRowDxfId="42">
      <calculatedColumnFormula>flow_9[[#This Row],[Opening balance]]+flow_9[[#This Row],[Operations]]</calculatedColumnFormula>
    </tableColumn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E158898-5458-499A-93D0-1D78A65F7D9F}" name="incomes_9" displayName="incomes_9" ref="G1:H8" totalsRowCount="1">
  <autoFilter ref="G1:H7" xr:uid="{1712DEC7-0B78-40C8-9252-1A8D002EAA83}"/>
  <tableColumns count="2">
    <tableColumn id="1" xr3:uid="{117FE28B-F3D0-41B2-99F2-747A1A41F523}" name="Category" totalsRowLabel="Total"/>
    <tableColumn id="2" xr3:uid="{8F5620C9-C77C-4CEF-8342-4A0C883C5D23}" name="Total" totalsRowFunction="sum" dataDxfId="41" totalsRowDxfId="40" totalsRowCellStyle="Currency">
      <calculatedColumnFormula>SUMIFS(Operations[Amount],Operations[Month],$B$11,Operations[Category],incomes_9[[#This Row],[Category]])</calculatedColumnFormula>
    </tableColumn>
  </tableColumns>
  <tableStyleInfo name="TableStyleLight2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673C937-8461-4344-B80B-AB835C4F0799}" name="expenses_9" displayName="expenses_9" ref="J1:K11" totalsRowCount="1">
  <autoFilter ref="J1:K10" xr:uid="{B8993199-784C-4C78-92FB-D97117058C0A}"/>
  <tableColumns count="2">
    <tableColumn id="1" xr3:uid="{1C41B42B-3054-4B12-B2C0-5FE615F37FE2}" name="Category" totalsRowLabel="Total"/>
    <tableColumn id="2" xr3:uid="{04F43FCE-FA6F-4CE0-8B69-8BD17369B011}" name="Total" totalsRowFunction="sum" dataDxfId="39" totalsRowDxfId="38">
      <calculatedColumnFormula>SUMIFS(Operations[Amount],Operations[Month],$B$11,Operations[Category],expenses_9[[#This Row],[Category]])</calculatedColumnFormula>
    </tableColumn>
  </tableColumns>
  <tableStyleInfo name="TableStyleLight2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16C082-77A5-4C5B-9C15-8BCE4CB6EFE4}" name="balance_9" displayName="balance_9" ref="A13:B17" totalsRowCount="1">
  <autoFilter ref="A13:B16" xr:uid="{EF2A086C-440E-4F23-8427-E1F30198C746}"/>
  <tableColumns count="2">
    <tableColumn id="1" xr3:uid="{D8AF8B69-FBD6-4D5F-8CF5-7BDF1FC851A6}" name="Type" totalsRowLabel="Total"/>
    <tableColumn id="2" xr3:uid="{A66C2FAE-5D98-47CE-972D-6ED19146CBEF}" name="Total" totalsRowFunction="sum" dataDxfId="37" totalsRowDxfId="36">
      <calculatedColumnFormula>SUMIFS(Operations[Amount],Operations[Month],$B$11,Operations[Type],balance_9[[#This Row],[Type]])</calculatedColumnFormula>
    </tableColumn>
  </tableColumns>
  <tableStyleInfo name="TableStyleLight2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094BD41-5ED3-480E-8DB0-DB3B0EE5C13D}" name="flow_10" displayName="flow_10" ref="A1:E9" totalsRowCount="1">
  <autoFilter ref="A1:E8" xr:uid="{80D562A9-F9E2-4C9C-8D95-0E17986C0E65}"/>
  <tableColumns count="5">
    <tableColumn id="1" xr3:uid="{EAD50A46-9F61-45C9-BAF6-207B3970E339}" name="Bank" totalsRowLabel="Total"/>
    <tableColumn id="2" xr3:uid="{AC4C98E8-FF9B-4E62-A889-5E3B687F4E59}" name="Product"/>
    <tableColumn id="3" xr3:uid="{1EF65B43-C3B8-404C-BA22-B2EA29FD8824}" name="Opening balance" totalsRowFunction="sum" dataDxfId="35" totalsRowDxfId="34">
      <calculatedColumnFormula array="1">INDIRECT("flow_"&amp;$B$11-1&amp;"[@[Closing balance]]")</calculatedColumnFormula>
    </tableColumn>
    <tableColumn id="4" xr3:uid="{3B83B0C5-A372-4AE8-A29B-24E53F85C36B}" name="Operations" totalsRowFunction="sum" dataDxfId="33" totalsRowDxfId="32">
      <calculatedColumnFormula>SUMIFS(Operations[Amount],Operations[Bank],flow_10[[#This Row],[Bank]],Operations[Product],flow_10[[#This Row],[Product]],Operations[Month],$B$11)</calculatedColumnFormula>
    </tableColumn>
    <tableColumn id="5" xr3:uid="{E3F32B1A-03DE-4383-93EF-30B5EE5137F3}" name="Closing balance" totalsRowFunction="sum" dataDxfId="31" totalsRowDxfId="30">
      <calculatedColumnFormula>flow_10[[#This Row],[Opening balance]]+flow_10[[#This Row],[Operations]]</calculatedColumnFormula>
    </tableColumn>
  </tableColumns>
  <tableStyleInfo name="TableStyleLight2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A8BDC58-83CD-405F-B863-FC98B6BBB3BF}" name="incomes_10" displayName="incomes_10" ref="G1:H8" totalsRowCount="1">
  <autoFilter ref="G1:H7" xr:uid="{1712DEC7-0B78-40C8-9252-1A8D002EAA83}"/>
  <tableColumns count="2">
    <tableColumn id="1" xr3:uid="{5277559F-63CA-4A66-BCA6-EA08E7D7C2F9}" name="Category" totalsRowLabel="Total"/>
    <tableColumn id="2" xr3:uid="{3E3F8A55-E293-45CB-8C5E-AFF3EE235F9B}" name="Total" totalsRowFunction="sum" dataDxfId="29" totalsRowDxfId="28" totalsRowCellStyle="Currency">
      <calculatedColumnFormula>SUMIFS(Operations[Amount],Operations[Month],$B$11,Operations[Category],incomes_10[[#This Row],[Category]])</calculatedColumnFormula>
    </tableColumn>
  </tableColumns>
  <tableStyleInfo name="TableStyleLight2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318D285-EFEF-47A7-A094-4F869B8A8BFC}" name="expenses_10" displayName="expenses_10" ref="J1:K11" totalsRowCount="1">
  <autoFilter ref="J1:K10" xr:uid="{B8993199-784C-4C78-92FB-D97117058C0A}"/>
  <tableColumns count="2">
    <tableColumn id="1" xr3:uid="{7D07780B-9A46-42C2-A800-89E5879D866D}" name="Category" totalsRowLabel="Total"/>
    <tableColumn id="2" xr3:uid="{AA8052DB-FC8A-492B-B108-A758F96A3DBC}" name="Total" totalsRowFunction="sum" dataDxfId="27" totalsRowDxfId="26">
      <calculatedColumnFormula>SUMIFS(Operations[Amount],Operations[Month],$B$11,Operations[Category],expenses_10[[#This Row],[Category]])</calculatedColumnFormula>
    </tableColumn>
  </tableColumns>
  <tableStyleInfo name="TableStyleLight20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E537012-7618-45AE-B9EA-2808331BF821}" name="balance_10" displayName="balance_10" ref="A13:B17" totalsRowCount="1">
  <autoFilter ref="A13:B16" xr:uid="{EF2A086C-440E-4F23-8427-E1F30198C746}"/>
  <tableColumns count="2">
    <tableColumn id="1" xr3:uid="{81EC6553-8F58-4BE3-95EA-7DE72D9D1FCE}" name="Type" totalsRowLabel="Total"/>
    <tableColumn id="2" xr3:uid="{6D62414D-FF70-4549-B592-0E47F349F7A7}" name="Total" totalsRowFunction="sum" dataDxfId="25" totalsRowDxfId="24">
      <calculatedColumnFormula>SUMIFS(Operations[Amount],Operations[Month],$B$11,Operations[Type],balance_10[[#This Row],[Type]])</calculatedColumnFormula>
    </tableColumn>
  </tableColumns>
  <tableStyleInfo name="TableStyleLight20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8E332CE-A49F-47C8-9768-9C52E394C7DA}" name="flow_11" displayName="flow_11" ref="A1:E9" totalsRowCount="1">
  <autoFilter ref="A1:E8" xr:uid="{80D562A9-F9E2-4C9C-8D95-0E17986C0E65}"/>
  <tableColumns count="5">
    <tableColumn id="1" xr3:uid="{6A96BCAB-8459-4A08-A116-373A32D418B4}" name="Bank" totalsRowLabel="Total"/>
    <tableColumn id="2" xr3:uid="{60842F1E-E296-402E-88D0-06BA3C55B8AB}" name="Product"/>
    <tableColumn id="3" xr3:uid="{682A2617-403D-4926-A243-52C2E7F8C24D}" name="Opening balance" totalsRowFunction="sum" dataDxfId="23" totalsRowDxfId="22">
      <calculatedColumnFormula array="1">INDIRECT("flow_"&amp;$B$11-1&amp;"[@[Closing balance]]")</calculatedColumnFormula>
    </tableColumn>
    <tableColumn id="4" xr3:uid="{4243844C-BCAD-4104-B7E1-B628E33654FE}" name="Operations" totalsRowFunction="sum" dataDxfId="21" totalsRowDxfId="20">
      <calculatedColumnFormula>SUMIFS(Operations[Amount],Operations[Bank],flow_11[[#This Row],[Bank]],Operations[Product],flow_11[[#This Row],[Product]],Operations[Month],$B$11)</calculatedColumnFormula>
    </tableColumn>
    <tableColumn id="5" xr3:uid="{502DEE40-B494-496D-A2B2-A38B904A326E}" name="Closing balance" totalsRowFunction="sum" dataDxfId="19" totalsRowDxfId="18">
      <calculatedColumnFormula>flow_11[[#This Row],[Opening balance]]+flow_11[[#This Row],[Operations]]</calculatedColumnFormula>
    </tableColumn>
  </tableColumns>
  <tableStyleInfo name="TableStyleLight20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E798890-5F24-4553-B4A0-799017D63EF8}" name="incomes_11" displayName="incomes_11" ref="G1:H8" totalsRowCount="1">
  <autoFilter ref="G1:H7" xr:uid="{1712DEC7-0B78-40C8-9252-1A8D002EAA83}"/>
  <tableColumns count="2">
    <tableColumn id="1" xr3:uid="{651C02DB-33F8-44E3-9874-035FF56540E3}" name="Category" totalsRowLabel="Total"/>
    <tableColumn id="2" xr3:uid="{2B64C056-9622-4825-8964-C22D316D75BB}" name="Total" totalsRowFunction="sum" dataDxfId="17" totalsRowDxfId="16" totalsRowCellStyle="Currency">
      <calculatedColumnFormula>SUMIFS(Operations[Amount],Operations[Month],$B$11,Operations[Category],incomes_11[[#This Row],[Category]])</calculatedColumnFormula>
    </tableColumn>
  </tableColumns>
  <tableStyleInfo name="TableStyleLight20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92C3C0E-2A95-4F3C-98B7-0EA2BD7FC8C2}" name="expenses_11" displayName="expenses_11" ref="J1:K11" totalsRowCount="1">
  <autoFilter ref="J1:K10" xr:uid="{B8993199-784C-4C78-92FB-D97117058C0A}"/>
  <tableColumns count="2">
    <tableColumn id="1" xr3:uid="{590CC709-0366-4E36-B23A-1651E5D9D13B}" name="Category" totalsRowLabel="Total"/>
    <tableColumn id="2" xr3:uid="{113E2B38-33F1-400F-85FE-15950935A8DD}" name="Total" totalsRowFunction="sum" dataDxfId="15" totalsRowDxfId="14">
      <calculatedColumnFormula>SUMIFS(Operations[Amount],Operations[Month],$B$11,Operations[Category],expenses_11[[#This Row],[Category]])</calculatedColumnFormula>
    </tableColumn>
  </tableColumns>
  <tableStyleInfo name="TableStyleLight2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1A9D047-D127-43FC-BFCF-F439E2821E6D}" name="balance_11" displayName="balance_11" ref="A13:B17" totalsRowCount="1">
  <autoFilter ref="A13:B16" xr:uid="{EF2A086C-440E-4F23-8427-E1F30198C746}"/>
  <tableColumns count="2">
    <tableColumn id="1" xr3:uid="{8F20682F-BCA3-4838-AA9B-DE5BEF8C802C}" name="Type" totalsRowLabel="Total"/>
    <tableColumn id="2" xr3:uid="{D1DC5095-6FBB-4C31-9426-4C752D855C6F}" name="Total" totalsRowFunction="sum" dataDxfId="13" totalsRowDxfId="12">
      <calculatedColumnFormula>SUMIFS(Operations[Amount],Operations[Month],$B$11,Operations[Type],balance_11[[#This Row],[Type]])</calculatedColumnFormula>
    </tableColumn>
  </tableColumns>
  <tableStyleInfo name="TableStyleLight2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8EEDC00-86DE-4903-A1A4-837AFB75A009}" name="flow_12" displayName="flow_12" ref="A1:E9" totalsRowCount="1">
  <autoFilter ref="A1:E8" xr:uid="{80D562A9-F9E2-4C9C-8D95-0E17986C0E65}"/>
  <tableColumns count="5">
    <tableColumn id="1" xr3:uid="{29E9EE0E-AFE2-40B0-B87A-A106321CD286}" name="Bank" totalsRowLabel="Total"/>
    <tableColumn id="2" xr3:uid="{4D4B978D-4094-4453-B419-E23F33C0C2E7}" name="Product"/>
    <tableColumn id="3" xr3:uid="{A85B9761-F3E5-4AD8-BCD4-9A5B78D30D74}" name="Opening balance" totalsRowFunction="sum" dataDxfId="11" totalsRowDxfId="10">
      <calculatedColumnFormula array="1">INDIRECT("flow_"&amp;$B$11-1&amp;"[@[Closing balance]]")</calculatedColumnFormula>
    </tableColumn>
    <tableColumn id="4" xr3:uid="{42672411-6DED-492E-98B4-3E26E3FBA0E0}" name="Operations" totalsRowFunction="sum" dataDxfId="9" totalsRowDxfId="8">
      <calculatedColumnFormula>SUMIFS(Operations[Amount],Operations[Bank],flow_12[[#This Row],[Bank]],Operations[Product],flow_12[[#This Row],[Product]],Operations[Month],$B$11)</calculatedColumnFormula>
    </tableColumn>
    <tableColumn id="5" xr3:uid="{9335D7D9-90D8-4547-9AAF-1C9A38A43459}" name="Closing balance" totalsRowFunction="sum" dataDxfId="7" totalsRowDxfId="6">
      <calculatedColumnFormula>flow_12[[#This Row],[Opening balance]]+flow_12[[#This Row],[Operations]]</calculatedColumnFormula>
    </tableColumn>
  </tableColumns>
  <tableStyleInfo name="TableStyleLight2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27350EF-3AF8-4BDD-A614-449BB46A5A1B}" name="incomes_12" displayName="incomes_12" ref="G1:H8" totalsRowCount="1">
  <autoFilter ref="G1:H7" xr:uid="{1712DEC7-0B78-40C8-9252-1A8D002EAA83}"/>
  <tableColumns count="2">
    <tableColumn id="1" xr3:uid="{22417A77-9BEC-4822-80CF-D028B37B676C}" name="Category" totalsRowLabel="Total"/>
    <tableColumn id="2" xr3:uid="{0CFC82AA-4CD7-44B7-B326-79088DC17026}" name="Total" totalsRowFunction="sum" dataDxfId="5" totalsRowDxfId="4" totalsRowCellStyle="Currency">
      <calculatedColumnFormula>SUMIFS(Operations[Amount],Operations[Month],$B$11,Operations[Category],incomes_12[[#This Row],[Category]])</calculatedColumnFormula>
    </tableColumn>
  </tableColumns>
  <tableStyleInfo name="TableStyleLight20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F73BADA-479C-47AD-92E0-FC92591CC6C5}" name="expenses_12" displayName="expenses_12" ref="J1:K11" totalsRowCount="1">
  <autoFilter ref="J1:K10" xr:uid="{B8993199-784C-4C78-92FB-D97117058C0A}"/>
  <tableColumns count="2">
    <tableColumn id="1" xr3:uid="{C74027AB-6B87-46FF-B15D-B227E4AEBAEF}" name="Category" totalsRowLabel="Total"/>
    <tableColumn id="2" xr3:uid="{26597398-24E4-4229-8EA3-C8E3713CD96E}" name="Total" totalsRowFunction="sum" dataDxfId="3" totalsRowDxfId="2">
      <calculatedColumnFormula>SUMIFS(Operations[Amount],Operations[Month],$B$11,Operations[Category],expenses_12[[#This Row],[Category]])</calculatedColumnFormula>
    </tableColumn>
  </tableColumns>
  <tableStyleInfo name="TableStyleLight2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3A60129-E9AE-4FBD-806B-08BC3AF2AAA1}" name="balance_12" displayName="balance_12" ref="A13:B17" totalsRowCount="1">
  <autoFilter ref="A13:B16" xr:uid="{EF2A086C-440E-4F23-8427-E1F30198C746}"/>
  <tableColumns count="2">
    <tableColumn id="1" xr3:uid="{1DDB5040-7364-4784-8770-27ABF6BAD1A9}" name="Type" totalsRowLabel="Total"/>
    <tableColumn id="2" xr3:uid="{9C6347B7-D55B-41D3-9FAE-3AC506B3D106}" name="Total" totalsRowFunction="sum" dataDxfId="1" totalsRowDxfId="0">
      <calculatedColumnFormula>SUMIFS(Operations[Amount],Operations[Month],$B$11,Operations[Type],balance_12[[#This Row],[Type]])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zoomScale="175" zoomScaleNormal="175" workbookViewId="0">
      <selection activeCell="I10" sqref="I10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12.7109375" customWidth="1"/>
    <col min="6" max="6" width="11.28515625" bestFit="1" customWidth="1"/>
    <col min="7" max="7" width="8.7109375" customWidth="1"/>
    <col min="10" max="10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9</v>
      </c>
      <c r="E2" s="1" t="str">
        <f>_xlfn.XLOOKUP(Operations[[#This Row],[Category]],Categories[Category],Categories[Type],"",0,1)</f>
        <v>Expense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10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11</v>
      </c>
      <c r="E4" s="1" t="str">
        <f>_xlfn.XLOOKUP(Operations[[#This Row],[Category]],Categories[Category],Categories[Type],"",0,1)</f>
        <v>Expense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12</v>
      </c>
      <c r="C5" s="1" t="s">
        <v>8</v>
      </c>
      <c r="D5" s="1" t="s">
        <v>9</v>
      </c>
      <c r="E5" s="1" t="str">
        <f>_xlfn.XLOOKUP(Operations[[#This Row],[Category]],Categories[Category],Categories[Type],"",0,1)</f>
        <v>Expense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13</v>
      </c>
      <c r="D6" s="1" t="s">
        <v>14</v>
      </c>
      <c r="E6" s="1" t="str">
        <f>_xlfn.XLOOKUP(Operations[[#This Row],[Category]],Categories[Category],Categories[Type],"",0,1)</f>
        <v>Expense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9</v>
      </c>
      <c r="E7" s="1" t="str">
        <f>_xlfn.XLOOKUP(Operations[[#This Row],[Category]],Categories[Category],Categories[Type],"",0,1)</f>
        <v>Expense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15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16</v>
      </c>
      <c r="D9" s="1" t="s">
        <v>17</v>
      </c>
      <c r="E9" s="1" t="str">
        <f>_xlfn.XLOOKUP(Operations[[#This Row],[Category]],Categories[Category],Categories[Type],"",0,1)</f>
        <v>Expense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12</v>
      </c>
      <c r="C10" s="1" t="s">
        <v>18</v>
      </c>
      <c r="D10" s="1" t="s">
        <v>19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13</v>
      </c>
      <c r="D11" s="1" t="s">
        <v>20</v>
      </c>
      <c r="E11" s="1" t="str">
        <f>_xlfn.XLOOKUP(Operations[[#This Row],[Category]],Categories[Category],Categories[Type],"",0,1)</f>
        <v>Expense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21</v>
      </c>
      <c r="E12" s="1" t="str">
        <f>_xlfn.XLOOKUP(Operations[[#This Row],[Category]],Categories[Category],Categories[Type],"",0,1)</f>
        <v>Expense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12</v>
      </c>
      <c r="C13" s="1" t="s">
        <v>8</v>
      </c>
      <c r="D13" s="1" t="s">
        <v>15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12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Expense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12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Expense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Expense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24</v>
      </c>
      <c r="C17" s="1" t="s">
        <v>25</v>
      </c>
      <c r="D17" s="1" t="s">
        <v>9</v>
      </c>
      <c r="E17" s="1" t="str">
        <f>_xlfn.XLOOKUP(Operations[[#This Row],[Category]],Categories[Category],Categories[Type],"",0,1)</f>
        <v>Expense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24</v>
      </c>
      <c r="C18" s="1" t="s">
        <v>26</v>
      </c>
      <c r="D18" s="1" t="s">
        <v>15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12</v>
      </c>
      <c r="C19" s="1" t="s">
        <v>18</v>
      </c>
      <c r="D19" s="1" t="s">
        <v>27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16</v>
      </c>
      <c r="D20" s="1" t="s">
        <v>27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28</v>
      </c>
      <c r="E21" s="1" t="str">
        <f>_xlfn.XLOOKUP(Operations[[#This Row],[Category]],Categories[Category],Categories[Type],"",0,1)</f>
        <v>Expense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12</v>
      </c>
      <c r="C22" s="1" t="s">
        <v>8</v>
      </c>
      <c r="D22" s="1" t="s">
        <v>15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12</v>
      </c>
      <c r="C23" s="1" t="s">
        <v>8</v>
      </c>
      <c r="D23" s="1" t="s">
        <v>17</v>
      </c>
      <c r="E23" s="1" t="str">
        <f>_xlfn.XLOOKUP(Operations[[#This Row],[Category]],Categories[Category],Categories[Type],"",0,1)</f>
        <v>Expense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9</v>
      </c>
      <c r="E24" s="1" t="str">
        <f>_xlfn.XLOOKUP(Operations[[#This Row],[Category]],Categories[Category],Categories[Type],"",0,1)</f>
        <v>Expense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10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11</v>
      </c>
      <c r="E26" s="1" t="str">
        <f>_xlfn.XLOOKUP(Operations[[#This Row],[Category]],Categories[Category],Categories[Type],"",0,1)</f>
        <v>Expense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Expense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15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9</v>
      </c>
      <c r="E29" s="1" t="str">
        <f>_xlfn.XLOOKUP(Operations[[#This Row],[Category]],Categories[Category],Categories[Type],"",0,1)</f>
        <v>Expense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16</v>
      </c>
      <c r="D30" s="1" t="s">
        <v>17</v>
      </c>
      <c r="E30" s="1" t="str">
        <f>_xlfn.XLOOKUP(Operations[[#This Row],[Category]],Categories[Category],Categories[Type],"",0,1)</f>
        <v>Expense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24</v>
      </c>
      <c r="C31" s="1" t="s">
        <v>26</v>
      </c>
      <c r="D31" s="1" t="s">
        <v>17</v>
      </c>
      <c r="E31" s="1" t="str">
        <f>_xlfn.XLOOKUP(Operations[[#This Row],[Category]],Categories[Category],Categories[Type],"",0,1)</f>
        <v>Expense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13</v>
      </c>
      <c r="D32" s="1" t="s">
        <v>29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29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Expense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21</v>
      </c>
      <c r="E35" s="1" t="str">
        <f>_xlfn.XLOOKUP(Operations[[#This Row],[Category]],Categories[Category],Categories[Type],"",0,1)</f>
        <v>Expense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24</v>
      </c>
      <c r="C36" s="1" t="s">
        <v>26</v>
      </c>
      <c r="D36" s="1" t="s">
        <v>15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24</v>
      </c>
      <c r="C37" s="1" t="s">
        <v>25</v>
      </c>
      <c r="D37" s="1" t="s">
        <v>15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24</v>
      </c>
      <c r="C38" s="1" t="s">
        <v>26</v>
      </c>
      <c r="D38" s="1" t="s">
        <v>20</v>
      </c>
      <c r="E38" s="1" t="str">
        <f>_xlfn.XLOOKUP(Operations[[#This Row],[Category]],Categories[Category],Categories[Type],"",0,1)</f>
        <v>Expense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24</v>
      </c>
      <c r="C39" s="1" t="s">
        <v>26</v>
      </c>
      <c r="D39" s="1" t="s">
        <v>15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24</v>
      </c>
      <c r="C40" s="1" t="s">
        <v>26</v>
      </c>
      <c r="D40" s="1" t="s">
        <v>28</v>
      </c>
      <c r="E40" s="1" t="str">
        <f>_xlfn.XLOOKUP(Operations[[#This Row],[Category]],Categories[Category],Categories[Type],"",0,1)</f>
        <v>Expense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12</v>
      </c>
      <c r="C41" s="1" t="s">
        <v>8</v>
      </c>
      <c r="D41" s="1" t="s">
        <v>9</v>
      </c>
      <c r="E41" s="1" t="str">
        <f>_xlfn.XLOOKUP(Operations[[#This Row],[Category]],Categories[Category],Categories[Type],"",0,1)</f>
        <v>Expense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12</v>
      </c>
      <c r="C42" s="1" t="s">
        <v>8</v>
      </c>
      <c r="D42" s="1" t="s">
        <v>17</v>
      </c>
      <c r="E42" s="1" t="str">
        <f>_xlfn.XLOOKUP(Operations[[#This Row],[Category]],Categories[Category],Categories[Type],"",0,1)</f>
        <v>Expense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12</v>
      </c>
      <c r="C43" s="1" t="s">
        <v>18</v>
      </c>
      <c r="D43" s="1" t="s">
        <v>27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14</v>
      </c>
      <c r="E44" s="1" t="str">
        <f>_xlfn.XLOOKUP(Operations[[#This Row],[Category]],Categories[Category],Categories[Type],"",0,1)</f>
        <v>Expense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16</v>
      </c>
      <c r="D45" s="1" t="s">
        <v>27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13</v>
      </c>
      <c r="D46" s="1" t="s">
        <v>9</v>
      </c>
      <c r="E46" s="1" t="str">
        <f>_xlfn.XLOOKUP(Operations[[#This Row],[Category]],Categories[Category],Categories[Type],"",0,1)</f>
        <v>Expense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9</v>
      </c>
      <c r="E47" s="1" t="str">
        <f>_xlfn.XLOOKUP(Operations[[#This Row],[Category]],Categories[Category],Categories[Type],"",0,1)</f>
        <v>Expense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12</v>
      </c>
      <c r="C48" s="1" t="s">
        <v>8</v>
      </c>
      <c r="D48" s="1" t="s">
        <v>21</v>
      </c>
      <c r="E48" s="1" t="str">
        <f>_xlfn.XLOOKUP(Operations[[#This Row],[Category]],Categories[Category],Categories[Type],"",0,1)</f>
        <v>Expense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Expense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12</v>
      </c>
      <c r="C50" s="1" t="s">
        <v>8</v>
      </c>
      <c r="D50" s="1" t="s">
        <v>27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24</v>
      </c>
      <c r="C51" s="1" t="s">
        <v>25</v>
      </c>
      <c r="D51" s="1" t="s">
        <v>9</v>
      </c>
      <c r="E51" s="1" t="str">
        <f>_xlfn.XLOOKUP(Operations[[#This Row],[Category]],Categories[Category],Categories[Type],"",0,1)</f>
        <v>Expense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10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11</v>
      </c>
      <c r="E53" s="1" t="str">
        <f>_xlfn.XLOOKUP(Operations[[#This Row],[Category]],Categories[Category],Categories[Type],"",0,1)</f>
        <v>Expense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9</v>
      </c>
      <c r="E54" s="1" t="str">
        <f>_xlfn.XLOOKUP(Operations[[#This Row],[Category]],Categories[Category],Categories[Type],"",0,1)</f>
        <v>Expense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Expense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24</v>
      </c>
      <c r="C56" s="1" t="s">
        <v>26</v>
      </c>
      <c r="D56" s="1" t="s">
        <v>28</v>
      </c>
      <c r="E56" s="1" t="str">
        <f>_xlfn.XLOOKUP(Operations[[#This Row],[Category]],Categories[Category],Categories[Type],"",0,1)</f>
        <v>Expense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14</v>
      </c>
      <c r="E57" s="1" t="str">
        <f>_xlfn.XLOOKUP(Operations[[#This Row],[Category]],Categories[Category],Categories[Type],"",0,1)</f>
        <v>Expense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9</v>
      </c>
      <c r="E58" s="1" t="str">
        <f>_xlfn.XLOOKUP(Operations[[#This Row],[Category]],Categories[Category],Categories[Type],"",0,1)</f>
        <v>Expense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17</v>
      </c>
      <c r="E59" s="1" t="str">
        <f>_xlfn.XLOOKUP(Operations[[#This Row],[Category]],Categories[Category],Categories[Type],"",0,1)</f>
        <v>Expense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12</v>
      </c>
      <c r="C60" s="1" t="s">
        <v>18</v>
      </c>
      <c r="D60" s="1" t="s">
        <v>30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13</v>
      </c>
      <c r="D61" s="1" t="s">
        <v>23</v>
      </c>
      <c r="E61" s="1" t="str">
        <f>_xlfn.XLOOKUP(Operations[[#This Row],[Category]],Categories[Category],Categories[Type],"",0,1)</f>
        <v>Expense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9</v>
      </c>
      <c r="E62" s="1" t="str">
        <f>_xlfn.XLOOKUP(Operations[[#This Row],[Category]],Categories[Category],Categories[Type],"",0,1)</f>
        <v>Expense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13</v>
      </c>
      <c r="D63" s="1" t="s">
        <v>28</v>
      </c>
      <c r="E63" s="1" t="str">
        <f>_xlfn.XLOOKUP(Operations[[#This Row],[Category]],Categories[Category],Categories[Type],"",0,1)</f>
        <v>Expense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21</v>
      </c>
      <c r="E64" s="1" t="str">
        <f>_xlfn.XLOOKUP(Operations[[#This Row],[Category]],Categories[Category],Categories[Type],"",0,1)</f>
        <v>Expense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12</v>
      </c>
      <c r="C65" s="1" t="s">
        <v>8</v>
      </c>
      <c r="D65" s="1" t="s">
        <v>27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9</v>
      </c>
      <c r="E66" s="1" t="str">
        <f>_xlfn.XLOOKUP(Operations[[#This Row],[Category]],Categories[Category],Categories[Type],"",0,1)</f>
        <v>Expense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10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11</v>
      </c>
      <c r="E68" s="1" t="str">
        <f>_xlfn.XLOOKUP(Operations[[#This Row],[Category]],Categories[Category],Categories[Type],"",0,1)</f>
        <v>Expense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Expense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13</v>
      </c>
      <c r="D70" s="1" t="s">
        <v>29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29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12</v>
      </c>
      <c r="C72" s="1" t="s">
        <v>8</v>
      </c>
      <c r="D72" s="1" t="s">
        <v>14</v>
      </c>
      <c r="E72" s="1" t="str">
        <f>_xlfn.XLOOKUP(Operations[[#This Row],[Category]],Categories[Category],Categories[Type],"",0,1)</f>
        <v>Expense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13</v>
      </c>
      <c r="D73" s="1" t="s">
        <v>9</v>
      </c>
      <c r="E73" s="1" t="str">
        <f>_xlfn.XLOOKUP(Operations[[#This Row],[Category]],Categories[Category],Categories[Type],"",0,1)</f>
        <v>Expense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17</v>
      </c>
      <c r="E74" s="1" t="str">
        <f>_xlfn.XLOOKUP(Operations[[#This Row],[Category]],Categories[Category],Categories[Type],"",0,1)</f>
        <v>Expense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13</v>
      </c>
      <c r="D75" s="1" t="s">
        <v>20</v>
      </c>
      <c r="E75" s="1" t="str">
        <f>_xlfn.XLOOKUP(Operations[[#This Row],[Category]],Categories[Category],Categories[Type],"",0,1)</f>
        <v>Expense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9</v>
      </c>
      <c r="E76" s="1" t="str">
        <f>_xlfn.XLOOKUP(Operations[[#This Row],[Category]],Categories[Category],Categories[Type],"",0,1)</f>
        <v>Expense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Expense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12</v>
      </c>
      <c r="C78" s="1" t="s">
        <v>18</v>
      </c>
      <c r="D78" s="1" t="s">
        <v>30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9</v>
      </c>
      <c r="E79" s="1" t="str">
        <f>_xlfn.XLOOKUP(Operations[[#This Row],[Category]],Categories[Category],Categories[Type],"",0,1)</f>
        <v>Expense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9</v>
      </c>
      <c r="E80" s="1" t="str">
        <f>_xlfn.XLOOKUP(Operations[[#This Row],[Category]],Categories[Category],Categories[Type],"",0,1)</f>
        <v>Expense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Expense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13</v>
      </c>
      <c r="D82" s="1" t="s">
        <v>9</v>
      </c>
      <c r="E82" s="1" t="str">
        <f>_xlfn.XLOOKUP(Operations[[#This Row],[Category]],Categories[Category],Categories[Type],"",0,1)</f>
        <v>Expense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21</v>
      </c>
      <c r="E83" s="1" t="str">
        <f>_xlfn.XLOOKUP(Operations[[#This Row],[Category]],Categories[Category],Categories[Type],"",0,1)</f>
        <v>Expense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10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11</v>
      </c>
      <c r="E85" s="1" t="str">
        <f>_xlfn.XLOOKUP(Operations[[#This Row],[Category]],Categories[Category],Categories[Type],"",0,1)</f>
        <v>Expense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13</v>
      </c>
      <c r="D86" s="1" t="s">
        <v>9</v>
      </c>
      <c r="E86" s="1" t="str">
        <f>_xlfn.XLOOKUP(Operations[[#This Row],[Category]],Categories[Category],Categories[Type],"",0,1)</f>
        <v>Expense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13</v>
      </c>
      <c r="D87" s="1" t="s">
        <v>29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29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13</v>
      </c>
      <c r="D89" s="1" t="s">
        <v>9</v>
      </c>
      <c r="E89" s="1" t="str">
        <f>_xlfn.XLOOKUP(Operations[[#This Row],[Category]],Categories[Category],Categories[Type],"",0,1)</f>
        <v>Expense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13</v>
      </c>
      <c r="D90" s="1" t="s">
        <v>9</v>
      </c>
      <c r="E90" s="1" t="str">
        <f>_xlfn.XLOOKUP(Operations[[#This Row],[Category]],Categories[Category],Categories[Type],"",0,1)</f>
        <v>Expense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12</v>
      </c>
      <c r="C91" s="1" t="s">
        <v>8</v>
      </c>
      <c r="D91" s="1" t="s">
        <v>14</v>
      </c>
      <c r="E91" s="1" t="str">
        <f>_xlfn.XLOOKUP(Operations[[#This Row],[Category]],Categories[Category],Categories[Type],"",0,1)</f>
        <v>Expense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24</v>
      </c>
      <c r="C92" s="1" t="s">
        <v>26</v>
      </c>
      <c r="D92" s="1" t="s">
        <v>20</v>
      </c>
      <c r="E92" s="1" t="str">
        <f>_xlfn.XLOOKUP(Operations[[#This Row],[Category]],Categories[Category],Categories[Type],"",0,1)</f>
        <v>Expense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13</v>
      </c>
      <c r="D93" s="1" t="s">
        <v>9</v>
      </c>
      <c r="E93" s="1" t="str">
        <f>_xlfn.XLOOKUP(Operations[[#This Row],[Category]],Categories[Category],Categories[Type],"",0,1)</f>
        <v>Expense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21</v>
      </c>
      <c r="E94" s="1" t="str">
        <f>_xlfn.XLOOKUP(Operations[[#This Row],[Category]],Categories[Category],Categories[Type],"",0,1)</f>
        <v>Expense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10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11</v>
      </c>
      <c r="E96" s="1" t="str">
        <f>_xlfn.XLOOKUP(Operations[[#This Row],[Category]],Categories[Category],Categories[Type],"",0,1)</f>
        <v>Expense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13</v>
      </c>
      <c r="D97" s="1" t="s">
        <v>9</v>
      </c>
      <c r="E97" s="1" t="str">
        <f>_xlfn.XLOOKUP(Operations[[#This Row],[Category]],Categories[Category],Categories[Type],"",0,1)</f>
        <v>Expense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13</v>
      </c>
      <c r="D98" s="1" t="s">
        <v>29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29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12</v>
      </c>
      <c r="C100" s="1" t="s">
        <v>8</v>
      </c>
      <c r="D100" s="1" t="s">
        <v>28</v>
      </c>
      <c r="E100" s="1" t="str">
        <f>_xlfn.XLOOKUP(Operations[[#This Row],[Category]],Categories[Category],Categories[Type],"",0,1)</f>
        <v>Expense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13</v>
      </c>
      <c r="D101" s="1" t="s">
        <v>9</v>
      </c>
      <c r="E101" s="1" t="str">
        <f>_xlfn.XLOOKUP(Operations[[#This Row],[Category]],Categories[Category],Categories[Type],"",0,1)</f>
        <v>Expense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13</v>
      </c>
      <c r="D102" s="1" t="s">
        <v>9</v>
      </c>
      <c r="E102" s="1" t="str">
        <f>_xlfn.XLOOKUP(Operations[[#This Row],[Category]],Categories[Category],Categories[Type],"",0,1)</f>
        <v>Expense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13</v>
      </c>
      <c r="D103" s="1" t="s">
        <v>22</v>
      </c>
      <c r="E103" s="1" t="str">
        <f>_xlfn.XLOOKUP(Operations[[#This Row],[Category]],Categories[Category],Categories[Type],"",0,1)</f>
        <v>Expense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12</v>
      </c>
      <c r="C104" s="1" t="s">
        <v>8</v>
      </c>
      <c r="D104" s="1" t="s">
        <v>14</v>
      </c>
      <c r="E104" s="1" t="str">
        <f>_xlfn.XLOOKUP(Operations[[#This Row],[Category]],Categories[Category],Categories[Type],"",0,1)</f>
        <v>Expense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12</v>
      </c>
      <c r="C105" s="1" t="s">
        <v>8</v>
      </c>
      <c r="D105" s="1" t="s">
        <v>19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24</v>
      </c>
      <c r="C106" s="1" t="s">
        <v>26</v>
      </c>
      <c r="D106" s="1" t="s">
        <v>20</v>
      </c>
      <c r="E106" s="1" t="str">
        <f>_xlfn.XLOOKUP(Operations[[#This Row],[Category]],Categories[Category],Categories[Type],"",0,1)</f>
        <v>Expense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24</v>
      </c>
      <c r="C107" s="1" t="s">
        <v>25</v>
      </c>
      <c r="D107" s="1" t="s">
        <v>9</v>
      </c>
      <c r="E107" s="1" t="str">
        <f>_xlfn.XLOOKUP(Operations[[#This Row],[Category]],Categories[Category],Categories[Type],"",0,1)</f>
        <v>Expense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Expense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10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11</v>
      </c>
      <c r="E110" s="1" t="str">
        <f>_xlfn.XLOOKUP(Operations[[#This Row],[Category]],Categories[Category],Categories[Type],"",0,1)</f>
        <v>Expense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13</v>
      </c>
      <c r="D111" s="1" t="s">
        <v>9</v>
      </c>
      <c r="E111" s="1" t="str">
        <f>_xlfn.XLOOKUP(Operations[[#This Row],[Category]],Categories[Category],Categories[Type],"",0,1)</f>
        <v>Expense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13</v>
      </c>
      <c r="D112" s="1" t="s">
        <v>29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29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16</v>
      </c>
      <c r="D114" s="1" t="s">
        <v>28</v>
      </c>
      <c r="E114" s="1" t="str">
        <f>_xlfn.XLOOKUP(Operations[[#This Row],[Category]],Categories[Category],Categories[Type],"",0,1)</f>
        <v>Expense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12</v>
      </c>
      <c r="C115" s="1" t="s">
        <v>18</v>
      </c>
      <c r="D115" s="1" t="s">
        <v>30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12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Expense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16</v>
      </c>
      <c r="D117" s="1" t="s">
        <v>27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21</v>
      </c>
      <c r="E118" s="1" t="str">
        <f>_xlfn.XLOOKUP(Operations[[#This Row],[Category]],Categories[Category],Categories[Type],"",0,1)</f>
        <v>Expense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13</v>
      </c>
      <c r="D119" s="1" t="s">
        <v>9</v>
      </c>
      <c r="E119" s="1" t="str">
        <f>_xlfn.XLOOKUP(Operations[[#This Row],[Category]],Categories[Category],Categories[Type],"",0,1)</f>
        <v>Expense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12</v>
      </c>
      <c r="C120" s="1" t="s">
        <v>18</v>
      </c>
      <c r="D120" s="1" t="s">
        <v>22</v>
      </c>
      <c r="E120" s="1" t="str">
        <f>_xlfn.XLOOKUP(Operations[[#This Row],[Category]],Categories[Category],Categories[Type],"",0,1)</f>
        <v>Expense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12</v>
      </c>
      <c r="C121" s="1" t="s">
        <v>8</v>
      </c>
      <c r="D121" s="1" t="s">
        <v>31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13</v>
      </c>
      <c r="D122" s="1" t="s">
        <v>9</v>
      </c>
      <c r="E122" s="1" t="str">
        <f>_xlfn.XLOOKUP(Operations[[#This Row],[Category]],Categories[Category],Categories[Type],"",0,1)</f>
        <v>Expense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9</v>
      </c>
      <c r="E123" s="1" t="str">
        <f>_xlfn.XLOOKUP(Operations[[#This Row],[Category]],Categories[Category],Categories[Type],"",0,1)</f>
        <v>Expense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16</v>
      </c>
      <c r="D124" s="1" t="s">
        <v>29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12</v>
      </c>
      <c r="C125" s="1" t="s">
        <v>8</v>
      </c>
      <c r="D125" s="1" t="s">
        <v>21</v>
      </c>
      <c r="E125" s="1" t="str">
        <f>_xlfn.XLOOKUP(Operations[[#This Row],[Category]],Categories[Category],Categories[Type],"",0,1)</f>
        <v>Expense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13</v>
      </c>
      <c r="D126" s="1" t="s">
        <v>9</v>
      </c>
      <c r="E126" s="1" t="str">
        <f>_xlfn.XLOOKUP(Operations[[#This Row],[Category]],Categories[Category],Categories[Type],"",0,1)</f>
        <v>Expense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10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11</v>
      </c>
      <c r="E128" s="1" t="str">
        <f>_xlfn.XLOOKUP(Operations[[#This Row],[Category]],Categories[Category],Categories[Type],"",0,1)</f>
        <v>Expense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12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Expense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13</v>
      </c>
      <c r="D130" s="1" t="s">
        <v>29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29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28</v>
      </c>
      <c r="E132" s="1" t="str">
        <f>_xlfn.XLOOKUP(Operations[[#This Row],[Category]],Categories[Category],Categories[Type],"",0,1)</f>
        <v>Expense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13</v>
      </c>
      <c r="D133" s="1" t="s">
        <v>9</v>
      </c>
      <c r="E133" s="1" t="str">
        <f>_xlfn.XLOOKUP(Operations[[#This Row],[Category]],Categories[Category],Categories[Type],"",0,1)</f>
        <v>Expense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24</v>
      </c>
      <c r="C134" s="1" t="s">
        <v>26</v>
      </c>
      <c r="D134" s="1" t="s">
        <v>30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24</v>
      </c>
      <c r="C135" s="1" t="s">
        <v>26</v>
      </c>
      <c r="D135" s="1" t="s">
        <v>20</v>
      </c>
      <c r="E135" s="1" t="str">
        <f>_xlfn.XLOOKUP(Operations[[#This Row],[Category]],Categories[Category],Categories[Type],"",0,1)</f>
        <v>Expense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24</v>
      </c>
      <c r="C136" s="1" t="s">
        <v>26</v>
      </c>
      <c r="D136" s="1" t="s">
        <v>9</v>
      </c>
      <c r="E136" s="1" t="str">
        <f>_xlfn.XLOOKUP(Operations[[#This Row],[Category]],Categories[Category],Categories[Type],"",0,1)</f>
        <v>Expense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21</v>
      </c>
      <c r="E137" s="1" t="str">
        <f>_xlfn.XLOOKUP(Operations[[#This Row],[Category]],Categories[Category],Categories[Type],"",0,1)</f>
        <v>Expense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12</v>
      </c>
      <c r="C138" s="1" t="s">
        <v>18</v>
      </c>
      <c r="D138" s="1" t="s">
        <v>22</v>
      </c>
      <c r="E138" s="1" t="str">
        <f>_xlfn.XLOOKUP(Operations[[#This Row],[Category]],Categories[Category],Categories[Type],"",0,1)</f>
        <v>Expense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12</v>
      </c>
      <c r="C139" s="1" t="s">
        <v>8</v>
      </c>
      <c r="D139" s="1" t="s">
        <v>31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30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21</v>
      </c>
      <c r="E141" s="1" t="str">
        <f>_xlfn.XLOOKUP(Operations[[#This Row],[Category]],Categories[Category],Categories[Type],"",0,1)</f>
        <v>Expense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12</v>
      </c>
      <c r="C142" s="1" t="s">
        <v>8</v>
      </c>
      <c r="D142" s="1" t="s">
        <v>9</v>
      </c>
      <c r="E142" s="1" t="str">
        <f>_xlfn.XLOOKUP(Operations[[#This Row],[Category]],Categories[Category],Categories[Type],"",0,1)</f>
        <v>Expense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14</v>
      </c>
      <c r="E143" s="1" t="str">
        <f>_xlfn.XLOOKUP(Operations[[#This Row],[Category]],Categories[Category],Categories[Type],"",0,1)</f>
        <v>Expense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9</v>
      </c>
      <c r="E144" s="1" t="str">
        <f>_xlfn.XLOOKUP(Operations[[#This Row],[Category]],Categories[Category],Categories[Type],"",0,1)</f>
        <v>Expense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10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13</v>
      </c>
      <c r="D146" s="1" t="s">
        <v>20</v>
      </c>
      <c r="E146" s="1" t="str">
        <f>_xlfn.XLOOKUP(Operations[[#This Row],[Category]],Categories[Category],Categories[Type],"",0,1)</f>
        <v>Expense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11</v>
      </c>
      <c r="E147" s="1" t="str">
        <f>_xlfn.XLOOKUP(Operations[[#This Row],[Category]],Categories[Category],Categories[Type],"",0,1)</f>
        <v>Expense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13</v>
      </c>
      <c r="D148" s="1" t="s">
        <v>29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29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9</v>
      </c>
      <c r="E150" s="1" t="str">
        <f>_xlfn.XLOOKUP(Operations[[#This Row],[Category]],Categories[Category],Categories[Type],"",0,1)</f>
        <v>Expense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21</v>
      </c>
      <c r="E151" s="1" t="str">
        <f>_xlfn.XLOOKUP(Operations[[#This Row],[Category]],Categories[Category],Categories[Type],"",0,1)</f>
        <v>Expense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14</v>
      </c>
      <c r="E152" s="1" t="str">
        <f>_xlfn.XLOOKUP(Operations[[#This Row],[Category]],Categories[Category],Categories[Type],"",0,1)</f>
        <v>Expense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9</v>
      </c>
      <c r="E153" s="1" t="str">
        <f>_xlfn.XLOOKUP(Operations[[#This Row],[Category]],Categories[Category],Categories[Type],"",0,1)</f>
        <v>Expense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10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13</v>
      </c>
      <c r="D155" s="1" t="s">
        <v>20</v>
      </c>
      <c r="E155" s="1" t="str">
        <f>_xlfn.XLOOKUP(Operations[[#This Row],[Category]],Categories[Category],Categories[Type],"",0,1)</f>
        <v>Expense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11</v>
      </c>
      <c r="E156" s="1" t="str">
        <f>_xlfn.XLOOKUP(Operations[[#This Row],[Category]],Categories[Category],Categories[Type],"",0,1)</f>
        <v>Expense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13</v>
      </c>
      <c r="D157" s="1" t="s">
        <v>29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29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10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11</v>
      </c>
      <c r="E160" s="1" t="str">
        <f>_xlfn.XLOOKUP(Operations[[#This Row],[Category]],Categories[Category],Categories[Type],"",0,1)</f>
        <v>Expense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21</v>
      </c>
      <c r="E161" s="1" t="str">
        <f>_xlfn.XLOOKUP(Operations[[#This Row],[Category]],Categories[Category],Categories[Type],"",0,1)</f>
        <v>Expense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9</v>
      </c>
      <c r="E162" s="1" t="str">
        <f>_xlfn.XLOOKUP(Operations[[#This Row],[Category]],Categories[Category],Categories[Type],"",0,1)</f>
        <v>Expense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14</v>
      </c>
      <c r="E163" s="1" t="str">
        <f>_xlfn.XLOOKUP(Operations[[#This Row],[Category]],Categories[Category],Categories[Type],"",0,1)</f>
        <v>Expense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Expense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13</v>
      </c>
      <c r="D165" s="1" t="s">
        <v>29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29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9</v>
      </c>
      <c r="E167" s="1" t="str">
        <f>_xlfn.XLOOKUP(Operations[[#This Row],[Category]],Categories[Category],Categories[Type],"",0,1)</f>
        <v>Expense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28</v>
      </c>
      <c r="E168" s="1" t="str">
        <f>_xlfn.XLOOKUP(Operations[[#This Row],[Category]],Categories[Category],Categories[Type],"",0,1)</f>
        <v>Expense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Row],[Category]],Categories[Category],Categories[Type],"",0,1)</f>
        <v>Expense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9</v>
      </c>
      <c r="E170" s="1" t="str">
        <f>_xlfn.XLOOKUP(Operations[[#This Row],[Category]],Categories[Category],Categories[Type],"",0,1)</f>
        <v>Expense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Expense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17</v>
      </c>
      <c r="E172" s="1" t="str">
        <f>_xlfn.XLOOKUP(Operations[[#This Row],[Category]],Categories[Category],Categories[Type],"",0,1)</f>
        <v>Expense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Expense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9</v>
      </c>
      <c r="E174" s="1" t="str">
        <f>_xlfn.XLOOKUP(Operations[[#This Row],[Category]],Categories[Category],Categories[Type],"",0,1)</f>
        <v>Expense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28</v>
      </c>
      <c r="E175" s="1" t="str">
        <f>_xlfn.XLOOKUP(Operations[[#This Row],[Category]],Categories[Category],Categories[Type],"",0,1)</f>
        <v>Expense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14</v>
      </c>
      <c r="E176" s="1" t="str">
        <f>_xlfn.XLOOKUP(Operations[[#This Row],[Category]],Categories[Category],Categories[Type],"",0,1)</f>
        <v>Expense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21</v>
      </c>
      <c r="E177" s="1" t="str">
        <f>_xlfn.XLOOKUP(Operations[[#This Row],[Category]],Categories[Category],Categories[Type],"",0,1)</f>
        <v>Expense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Expense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9</v>
      </c>
      <c r="E179" s="1" t="str">
        <f>_xlfn.XLOOKUP(Operations[[#This Row],[Category]],Categories[Category],Categories[Type],"",0,1)</f>
        <v>Expense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21</v>
      </c>
      <c r="E180" s="1" t="str">
        <f>_xlfn.XLOOKUP(Operations[[#This Row],[Category]],Categories[Category],Categories[Type],"",0,1)</f>
        <v>Expense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Expense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21</v>
      </c>
      <c r="E182" s="1" t="str">
        <f>_xlfn.XLOOKUP(Operations[[#This Row],[Category]],Categories[Category],Categories[Type],"",0,1)</f>
        <v>Expense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17</v>
      </c>
      <c r="E183" s="1" t="str">
        <f>_xlfn.XLOOKUP(Operations[[#This Row],[Category]],Categories[Category],Categories[Type],"",0,1)</f>
        <v>Expense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24</v>
      </c>
      <c r="C184" s="1" t="s">
        <v>26</v>
      </c>
      <c r="D184" s="1" t="s">
        <v>30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9</v>
      </c>
      <c r="E185" s="1" t="str">
        <f>_xlfn.XLOOKUP(Operations[[#This Row],[Category]],Categories[Category],Categories[Type],"",0,1)</f>
        <v>Expense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9</v>
      </c>
      <c r="E186" s="1" t="str">
        <f>_xlfn.XLOOKUP(Operations[[#This Row],[Category]],Categories[Category],Categories[Type],"",0,1)</f>
        <v>Expense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9</v>
      </c>
      <c r="E187" s="1" t="str">
        <f>_xlfn.XLOOKUP(Operations[[#This Row],[Category]],Categories[Category],Categories[Type],"",0,1)</f>
        <v>Expense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28</v>
      </c>
      <c r="E188" s="1" t="str">
        <f>_xlfn.XLOOKUP(Operations[[#This Row],[Category]],Categories[Category],Categories[Type],"",0,1)</f>
        <v>Expense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17</v>
      </c>
      <c r="E189" s="1" t="str">
        <f>_xlfn.XLOOKUP(Operations[[#This Row],[Category]],Categories[Category],Categories[Type],"",0,1)</f>
        <v>Expense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Expense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28</v>
      </c>
      <c r="E191" s="1" t="str">
        <f>_xlfn.XLOOKUP(Operations[[#This Row],[Category]],Categories[Category],Categories[Type],"",0,1)</f>
        <v>Expense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17</v>
      </c>
      <c r="E192" s="1" t="str">
        <f>_xlfn.XLOOKUP(Operations[[#This Row],[Category]],Categories[Category],Categories[Type],"",0,1)</f>
        <v>Expense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Expense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Expense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Expense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9</v>
      </c>
      <c r="E196" s="1" t="str">
        <f>_xlfn.XLOOKUP(Operations[[#This Row],[Category]],Categories[Category],Categories[Type],"",0,1)</f>
        <v>Expense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9</v>
      </c>
      <c r="E197" s="1" t="str">
        <f>_xlfn.XLOOKUP(Operations[[#This Row],[Category]],Categories[Category],Categories[Type],"",0,1)</f>
        <v>Expense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10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11</v>
      </c>
      <c r="E199" s="1" t="str">
        <f>_xlfn.XLOOKUP(Operations[[#This Row],[Category]],Categories[Category],Categories[Type],"",0,1)</f>
        <v>Expense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Expense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Expense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9</v>
      </c>
      <c r="E202" s="1" t="str">
        <f>_xlfn.XLOOKUP(Operations[[#This Row],[Category]],Categories[Category],Categories[Type],"",0,1)</f>
        <v>Expense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24</v>
      </c>
      <c r="C203" s="1" t="s">
        <v>26</v>
      </c>
      <c r="D203" s="1" t="s">
        <v>30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24</v>
      </c>
      <c r="C204" s="1" t="s">
        <v>26</v>
      </c>
      <c r="D204" s="1" t="s">
        <v>20</v>
      </c>
      <c r="E204" s="1" t="str">
        <f>_xlfn.XLOOKUP(Operations[[#This Row],[Category]],Categories[Category],Categories[Type],"",0,1)</f>
        <v>Expense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24</v>
      </c>
      <c r="C205" s="1" t="s">
        <v>26</v>
      </c>
      <c r="D205" s="1" t="s">
        <v>30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24</v>
      </c>
      <c r="C206" s="1" t="s">
        <v>26</v>
      </c>
      <c r="D206" s="1" t="s">
        <v>17</v>
      </c>
      <c r="E206" s="1" t="str">
        <f>_xlfn.XLOOKUP(Operations[[#This Row],[Category]],Categories[Category],Categories[Type],"",0,1)</f>
        <v>Expense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24</v>
      </c>
      <c r="C207" s="1" t="s">
        <v>26</v>
      </c>
      <c r="D207" s="1" t="s">
        <v>9</v>
      </c>
      <c r="E207" s="1" t="str">
        <f>_xlfn.XLOOKUP(Operations[[#This Row],[Category]],Categories[Category],Categories[Type],"",0,1)</f>
        <v>Expense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8199D47-DBE5-470F-A3CF-E774D177A284}">
          <x14:formula1>
            <xm:f>_xlfn._TRO_TRAILING(dicionary!$A$1:$A$26)</xm:f>
          </x14:formula1>
          <xm:sqref>D2:D1048576</xm:sqref>
        </x14:dataValidation>
        <x14:dataValidation type="list" allowBlank="1" showInputMessage="1" showErrorMessage="1" xr:uid="{EA7B572C-E6DE-4EA3-9ACC-7B1AEC9E41A2}">
          <x14:formula1>
            <xm:f>dicionary!$G$1:$I$1</xm:f>
          </x14:formula1>
          <xm:sqref>B2:B1048576</xm:sqref>
        </x14:dataValidation>
        <x14:dataValidation type="list" allowBlank="1" showInputMessage="1" showErrorMessage="1" xr:uid="{B8FDC7B3-F2A9-4548-9480-EAA5AE9F612D}">
          <x14:formula1>
            <xm:f>CHOOSE(MATCH(B2,dicionary!$G$1:$I$1,0),_xlfn._TRO_TRAILING(dicionary!$G$2:$G$8),_xlfn._TRO_TRAILING(dicionary!$H$2:$H$8),_xlfn._TRO_TRAILING(dicionary!$I$2:$I$8))</xm:f>
          </x14:formula1>
          <xm:sqref>C2:C207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I17"/>
  <sheetViews>
    <sheetView zoomScale="175" zoomScaleNormal="175" workbookViewId="0">
      <selection activeCell="A6" sqref="A6"/>
    </sheetView>
  </sheetViews>
  <sheetFormatPr defaultRowHeight="15" x14ac:dyDescent="0.25"/>
  <cols>
    <col min="1" max="1" width="16" bestFit="1" customWidth="1"/>
    <col min="4" max="4" width="11" customWidth="1"/>
    <col min="5" max="5" width="17.5703125" bestFit="1" customWidth="1"/>
    <col min="7" max="7" width="15" bestFit="1" customWidth="1"/>
    <col min="8" max="8" width="18.28515625" bestFit="1" customWidth="1"/>
    <col min="9" max="9" width="8.42578125" bestFit="1" customWidth="1"/>
  </cols>
  <sheetData>
    <row r="1" spans="1:9" ht="15.75" thickBot="1" x14ac:dyDescent="0.3">
      <c r="A1" s="1" t="s">
        <v>3</v>
      </c>
      <c r="B1" t="s">
        <v>4</v>
      </c>
      <c r="D1" s="6" t="s">
        <v>1</v>
      </c>
      <c r="E1" s="7" t="s">
        <v>2</v>
      </c>
      <c r="G1" s="10" t="s">
        <v>12</v>
      </c>
      <c r="H1" s="10" t="s">
        <v>7</v>
      </c>
      <c r="I1" s="10" t="s">
        <v>24</v>
      </c>
    </row>
    <row r="2" spans="1:9" x14ac:dyDescent="0.25">
      <c r="A2" s="1" t="s">
        <v>11</v>
      </c>
      <c r="B2" t="s">
        <v>32</v>
      </c>
      <c r="D2" s="4" t="s">
        <v>12</v>
      </c>
      <c r="E2" s="5" t="s">
        <v>8</v>
      </c>
      <c r="G2" s="10" t="s">
        <v>8</v>
      </c>
      <c r="H2" s="10" t="s">
        <v>8</v>
      </c>
      <c r="I2" s="10" t="s">
        <v>25</v>
      </c>
    </row>
    <row r="3" spans="1:9" x14ac:dyDescent="0.25">
      <c r="A3" s="1" t="s">
        <v>22</v>
      </c>
      <c r="B3" t="s">
        <v>32</v>
      </c>
      <c r="D3" s="4" t="s">
        <v>12</v>
      </c>
      <c r="E3" s="5" t="s">
        <v>18</v>
      </c>
      <c r="G3" s="10" t="s">
        <v>18</v>
      </c>
      <c r="H3" s="10" t="s">
        <v>13</v>
      </c>
      <c r="I3" s="10" t="s">
        <v>26</v>
      </c>
    </row>
    <row r="4" spans="1:9" x14ac:dyDescent="0.25">
      <c r="A4" s="1" t="s">
        <v>20</v>
      </c>
      <c r="B4" t="s">
        <v>32</v>
      </c>
      <c r="D4" s="4" t="s">
        <v>7</v>
      </c>
      <c r="E4" s="5" t="s">
        <v>8</v>
      </c>
      <c r="G4" s="10"/>
      <c r="H4" s="10" t="s">
        <v>16</v>
      </c>
      <c r="I4" s="10"/>
    </row>
    <row r="5" spans="1:9" x14ac:dyDescent="0.25">
      <c r="A5" s="1" t="s">
        <v>9</v>
      </c>
      <c r="B5" t="s">
        <v>32</v>
      </c>
      <c r="D5" s="4" t="s">
        <v>7</v>
      </c>
      <c r="E5" s="5" t="s">
        <v>13</v>
      </c>
      <c r="G5" s="10"/>
      <c r="H5" s="10"/>
      <c r="I5" s="10"/>
    </row>
    <row r="6" spans="1:9" x14ac:dyDescent="0.25">
      <c r="A6" s="1" t="s">
        <v>28</v>
      </c>
      <c r="B6" t="s">
        <v>32</v>
      </c>
      <c r="D6" s="4" t="s">
        <v>7</v>
      </c>
      <c r="E6" s="5" t="s">
        <v>16</v>
      </c>
      <c r="G6" s="10"/>
      <c r="H6" s="10"/>
      <c r="I6" s="10"/>
    </row>
    <row r="7" spans="1:9" x14ac:dyDescent="0.25">
      <c r="A7" s="1" t="s">
        <v>14</v>
      </c>
      <c r="B7" t="s">
        <v>32</v>
      </c>
      <c r="D7" s="4" t="s">
        <v>24</v>
      </c>
      <c r="E7" s="5" t="s">
        <v>25</v>
      </c>
      <c r="G7" s="10"/>
      <c r="H7" s="10"/>
      <c r="I7" s="10"/>
    </row>
    <row r="8" spans="1:9" x14ac:dyDescent="0.25">
      <c r="A8" s="1" t="s">
        <v>17</v>
      </c>
      <c r="B8" t="s">
        <v>32</v>
      </c>
      <c r="D8" s="8" t="s">
        <v>24</v>
      </c>
      <c r="E8" s="9" t="s">
        <v>26</v>
      </c>
      <c r="G8" s="10"/>
      <c r="H8" s="10"/>
      <c r="I8" s="10"/>
    </row>
    <row r="9" spans="1:9" x14ac:dyDescent="0.25">
      <c r="A9" s="1" t="s">
        <v>23</v>
      </c>
      <c r="B9" t="s">
        <v>32</v>
      </c>
    </row>
    <row r="10" spans="1:9" x14ac:dyDescent="0.25">
      <c r="A10" s="1" t="s">
        <v>21</v>
      </c>
      <c r="B10" t="s">
        <v>32</v>
      </c>
    </row>
    <row r="11" spans="1:9" x14ac:dyDescent="0.25">
      <c r="A11" s="1" t="s">
        <v>19</v>
      </c>
      <c r="B11" t="s">
        <v>33</v>
      </c>
    </row>
    <row r="12" spans="1:9" x14ac:dyDescent="0.25">
      <c r="A12" s="1" t="s">
        <v>27</v>
      </c>
      <c r="B12" t="s">
        <v>33</v>
      </c>
    </row>
    <row r="13" spans="1:9" x14ac:dyDescent="0.25">
      <c r="A13" s="1" t="s">
        <v>30</v>
      </c>
      <c r="B13" t="s">
        <v>33</v>
      </c>
    </row>
    <row r="14" spans="1:9" x14ac:dyDescent="0.25">
      <c r="A14" s="1" t="s">
        <v>15</v>
      </c>
      <c r="B14" t="s">
        <v>33</v>
      </c>
    </row>
    <row r="15" spans="1:9" x14ac:dyDescent="0.25">
      <c r="A15" s="1" t="s">
        <v>10</v>
      </c>
      <c r="B15" t="s">
        <v>33</v>
      </c>
    </row>
    <row r="16" spans="1:9" x14ac:dyDescent="0.25">
      <c r="A16" s="1" t="s">
        <v>31</v>
      </c>
      <c r="B16" t="s">
        <v>33</v>
      </c>
    </row>
    <row r="17" spans="1:2" x14ac:dyDescent="0.25">
      <c r="A17" s="1" t="s">
        <v>29</v>
      </c>
      <c r="B17" t="s">
        <v>29</v>
      </c>
    </row>
  </sheetData>
  <sortState xmlns:xlrd2="http://schemas.microsoft.com/office/spreadsheetml/2017/richdata2" ref="D2:E8">
    <sortCondition ref="D2:D8"/>
    <sortCondition ref="E2:E8"/>
  </sortState>
  <dataValidations count="1">
    <dataValidation type="list" allowBlank="1" showInputMessage="1" showErrorMessage="1" sqref="B1:B17" xr:uid="{FD9F465A-224B-4F2F-9EAB-599BAD3A05E9}">
      <formula1>"Income,Transfer,Expense"</formula1>
    </dataValidation>
  </dataValidations>
  <pageMargins left="0.7" right="0.7" top="0.75" bottom="0.75" header="0.3" footer="0.3"/>
  <ignoredErrors>
    <ignoredError sqref="B1" listDataValidation="1"/>
  </ignoredErrors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B8BC-346F-440D-893F-8B05D08ED167}">
  <dimension ref="A1:K17"/>
  <sheetViews>
    <sheetView tabSelected="1" zoomScale="175" zoomScaleNormal="175" workbookViewId="0">
      <selection activeCell="C2" sqref="C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>
        <v>100</v>
      </c>
      <c r="D2" s="11">
        <v>-35</v>
      </c>
      <c r="E2" s="11">
        <f>flow_1[[#This Row],[Opening balance]]+flow_1[[#This Row],[Operations]]</f>
        <v>65</v>
      </c>
      <c r="G2" t="s">
        <v>19</v>
      </c>
      <c r="H2" s="11">
        <f ca="1">SUMIFS(Operations[Amount],Operations[Month],$B$11,Operations[Category],incomes_1[[#This Row],[Category]])</f>
        <v>250</v>
      </c>
      <c r="J2" t="s">
        <v>11</v>
      </c>
      <c r="K2" s="11">
        <f ca="1">SUMIFS(Operations[Amount],Operations[Month],$B$11,Operations[Category],expenses_1[[#This Row],[Category]])</f>
        <v>-2000</v>
      </c>
    </row>
    <row r="3" spans="1:11" x14ac:dyDescent="0.25">
      <c r="A3" t="s">
        <v>12</v>
      </c>
      <c r="B3" t="s">
        <v>18</v>
      </c>
      <c r="C3" s="11">
        <v>10.5</v>
      </c>
      <c r="D3" s="11">
        <v>255.5</v>
      </c>
      <c r="E3" s="11">
        <f>flow_1[[#This Row],[Opening balance]]+flow_1[[#This Row],[Operations]]</f>
        <v>266</v>
      </c>
      <c r="G3" t="s">
        <v>27</v>
      </c>
      <c r="H3" s="11">
        <f ca="1">SUMIFS(Operations[Amount],Operations[Month],$B$11,Operations[Category],incomes_1[[#This Row],[Category]])</f>
        <v>105.5</v>
      </c>
      <c r="J3" t="s">
        <v>22</v>
      </c>
      <c r="K3" s="11">
        <f ca="1">SUMIFS(Operations[Amount],Operations[Month],$B$11,Operations[Category],expenses_1[[#This Row],[Category]])</f>
        <v>-80</v>
      </c>
    </row>
    <row r="4" spans="1:11" x14ac:dyDescent="0.25">
      <c r="A4" t="s">
        <v>7</v>
      </c>
      <c r="B4" t="s">
        <v>8</v>
      </c>
      <c r="C4" s="11">
        <v>600</v>
      </c>
      <c r="D4" s="11">
        <v>1100</v>
      </c>
      <c r="E4" s="11">
        <f>flow_1[[#This Row],[Opening balance]]+flow_1[[#This Row],[Operations]]</f>
        <v>1700</v>
      </c>
      <c r="G4" t="s">
        <v>30</v>
      </c>
      <c r="H4" s="11">
        <f ca="1">SUMIFS(Operations[Amount],Operations[Month],$B$11,Operations[Category],incomes_1[[#This Row],[Category]])</f>
        <v>0</v>
      </c>
      <c r="J4" t="s">
        <v>20</v>
      </c>
      <c r="K4" s="11">
        <f ca="1">SUMIFS(Operations[Amount],Operations[Month],$B$11,Operations[Category],expenses_1[[#This Row],[Category]])</f>
        <v>-85</v>
      </c>
    </row>
    <row r="5" spans="1:11" x14ac:dyDescent="0.25">
      <c r="A5" t="s">
        <v>7</v>
      </c>
      <c r="B5" t="s">
        <v>13</v>
      </c>
      <c r="C5" s="11">
        <v>0</v>
      </c>
      <c r="D5" s="11">
        <v>-175</v>
      </c>
      <c r="E5" s="11">
        <f>flow_1[[#This Row],[Opening balance]]+flow_1[[#This Row],[Operations]]</f>
        <v>-175</v>
      </c>
      <c r="G5" t="s">
        <v>15</v>
      </c>
      <c r="H5" s="11">
        <f ca="1">SUMIFS(Operations[Amount],Operations[Month],$B$11,Operations[Category],incomes_1[[#This Row],[Category]])</f>
        <v>800</v>
      </c>
      <c r="J5" t="s">
        <v>9</v>
      </c>
      <c r="K5" s="11">
        <f ca="1">SUMIFS(Operations[Amount],Operations[Month],$B$11,Operations[Category],expenses_1[[#This Row],[Category]])</f>
        <v>-1715</v>
      </c>
    </row>
    <row r="6" spans="1:11" x14ac:dyDescent="0.25">
      <c r="A6" t="s">
        <v>7</v>
      </c>
      <c r="B6" t="s">
        <v>16</v>
      </c>
      <c r="C6" s="11">
        <v>2000</v>
      </c>
      <c r="D6" s="11">
        <v>-400</v>
      </c>
      <c r="E6" s="11">
        <f>flow_1[[#This Row],[Opening balance]]+flow_1[[#This Row],[Operations]]</f>
        <v>1600</v>
      </c>
      <c r="G6" t="s">
        <v>10</v>
      </c>
      <c r="H6" s="11">
        <f ca="1">SUMIFS(Operations[Amount],Operations[Month],$B$11,Operations[Category],incomes_1[[#This Row],[Category]])</f>
        <v>4500</v>
      </c>
      <c r="J6" t="s">
        <v>28</v>
      </c>
      <c r="K6" s="11">
        <f ca="1">SUMIFS(Operations[Amount],Operations[Month],$B$11,Operations[Category],expenses_1[[#This Row],[Category]])</f>
        <v>-100</v>
      </c>
    </row>
    <row r="7" spans="1:11" x14ac:dyDescent="0.25">
      <c r="A7" t="s">
        <v>24</v>
      </c>
      <c r="B7" t="s">
        <v>25</v>
      </c>
      <c r="C7" s="11">
        <v>200</v>
      </c>
      <c r="D7" s="11">
        <v>-50</v>
      </c>
      <c r="E7" s="11">
        <f>flow_1[[#This Row],[Opening balance]]+flow_1[[#This Row],[Operations]]</f>
        <v>150</v>
      </c>
      <c r="G7" t="s">
        <v>31</v>
      </c>
      <c r="H7" s="11">
        <f ca="1">SUMIFS(Operations[Amount],Operations[Month],$B$11,Operations[Category],incomes_1[[#This Row],[Category]])</f>
        <v>0</v>
      </c>
      <c r="J7" t="s">
        <v>14</v>
      </c>
      <c r="K7" s="11">
        <f ca="1">SUMIFS(Operations[Amount],Operations[Month],$B$11,Operations[Category],expenses_1[[#This Row],[Category]])</f>
        <v>-150</v>
      </c>
    </row>
    <row r="8" spans="1:11" x14ac:dyDescent="0.25">
      <c r="A8" t="s">
        <v>24</v>
      </c>
      <c r="B8" t="s">
        <v>26</v>
      </c>
      <c r="C8" s="11">
        <v>30</v>
      </c>
      <c r="D8" s="11">
        <v>150</v>
      </c>
      <c r="E8" s="11">
        <f>flow_1[[#This Row],[Opening balance]]+flow_1[[#This Row],[Operations]]</f>
        <v>180</v>
      </c>
      <c r="G8" t="s">
        <v>37</v>
      </c>
      <c r="H8" s="12">
        <f ca="1">SUBTOTAL(109,incomes_1[Total])</f>
        <v>5655.5</v>
      </c>
      <c r="J8" t="s">
        <v>17</v>
      </c>
      <c r="K8" s="11">
        <f ca="1">SUMIFS(Operations[Amount],Operations[Month],$B$11,Operations[Category],expenses_1[[#This Row],[Category]])</f>
        <v>-500</v>
      </c>
    </row>
    <row r="9" spans="1:11" x14ac:dyDescent="0.25">
      <c r="A9" t="s">
        <v>37</v>
      </c>
      <c r="C9" s="11">
        <f>SUBTOTAL(109,flow_1[Opening balance])</f>
        <v>2940.5</v>
      </c>
      <c r="D9" s="11">
        <f>SUBTOTAL(109,flow_1[Operations])</f>
        <v>845.5</v>
      </c>
      <c r="E9" s="11">
        <f>SUBTOTAL(109,flow_1[Closing balance])</f>
        <v>3786</v>
      </c>
      <c r="J9" t="s">
        <v>23</v>
      </c>
      <c r="K9" s="11">
        <f ca="1">SUMIFS(Operations[Amount],Operations[Month],$B$11,Operations[Category],expenses_1[[#This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SUMIFS(Operations[Amount],Operations[Month],$B$11,Operations[Category],expenses_1[[#This Row],[Category]])</f>
        <v>-80</v>
      </c>
    </row>
    <row r="11" spans="1:11" x14ac:dyDescent="0.25">
      <c r="A11" s="13" t="s">
        <v>6</v>
      </c>
      <c r="B11" s="14" t="str" cm="1">
        <f t="array" aca="1" ref="B11" ca="1">_xlfn.TEXTAFTER(CELL("filename",A1),"]")</f>
        <v>1</v>
      </c>
      <c r="J11" t="s">
        <v>37</v>
      </c>
      <c r="K11" s="11">
        <f ca="1">SUBTOTAL(109,expenses_1[Total])</f>
        <v>-4810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SUMIFS(Operations[Amount],Operations[Month],$B$11,Operations[Type],balance_1[[#This Row],[Type]])</f>
        <v>-4810</v>
      </c>
    </row>
    <row r="15" spans="1:11" x14ac:dyDescent="0.25">
      <c r="A15" t="s">
        <v>33</v>
      </c>
      <c r="B15" s="11">
        <f ca="1">SUMIFS(Operations[Amount],Operations[Month],$B$11,Operations[Type],balance_1[[#This Row],[Type]])</f>
        <v>5655.5</v>
      </c>
    </row>
    <row r="16" spans="1:11" x14ac:dyDescent="0.25">
      <c r="A16" t="s">
        <v>29</v>
      </c>
      <c r="B16" s="11">
        <f ca="1">SUMIFS(Operations[Amount],Operations[Month],$B$11,Operations[Type],balance_1[[#This Row],[Type]])</f>
        <v>0</v>
      </c>
    </row>
    <row r="17" spans="1:2" x14ac:dyDescent="0.25">
      <c r="A17" t="s">
        <v>37</v>
      </c>
      <c r="B17" s="11">
        <f ca="1">SUBTOTAL(109,balance_1[Total])</f>
        <v>845.5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9CE1-6900-4CD1-AE20-4856F016C044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65</v>
      </c>
      <c r="D2" s="11">
        <f ca="1">SUMIFS(Operations[Amount],Operations[Bank],flow_2[[#This Row],[Bank]],Operations[Product],flow_2[[#This Row],[Product]],Operations[Month],$B$11)</f>
        <v>35</v>
      </c>
      <c r="E2" s="11">
        <f ca="1">flow_2[[#This Row],[Opening balance]]+flow_2[[#This Row],[Operations]]</f>
        <v>100</v>
      </c>
      <c r="G2" t="s">
        <v>19</v>
      </c>
      <c r="H2" s="11">
        <f ca="1">SUMIFS(Operations[Amount],Operations[Month],$B$11,Operations[Category],incomes_2[[#This Row],[Category]])</f>
        <v>0</v>
      </c>
      <c r="J2" t="s">
        <v>11</v>
      </c>
      <c r="K2" s="11">
        <f ca="1">SUMIFS(Operations[Amount],Operations[Month],$B$11,Operations[Category],expenses_2[[#This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266</v>
      </c>
      <c r="D3" s="11">
        <f ca="1">SUMIFS(Operations[Amount],Operations[Bank],flow_2[[#This Row],[Bank]],Operations[Product],flow_2[[#This Row],[Product]],Operations[Month],$B$11)</f>
        <v>15</v>
      </c>
      <c r="E3" s="11">
        <f ca="1">flow_2[[#This Row],[Opening balance]]+flow_2[[#This Row],[Operations]]</f>
        <v>281</v>
      </c>
      <c r="G3" t="s">
        <v>27</v>
      </c>
      <c r="H3" s="11">
        <f ca="1">SUMIFS(Operations[Amount],Operations[Month],$B$11,Operations[Category],incomes_2[[#This Row],[Category]])</f>
        <v>115</v>
      </c>
      <c r="J3" t="s">
        <v>22</v>
      </c>
      <c r="K3" s="11">
        <f ca="1">SUMIFS(Operations[Amount],Operations[Month],$B$11,Operations[Category],expenses_2[[#This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1700</v>
      </c>
      <c r="D4" s="11">
        <f ca="1">SUMIFS(Operations[Amount],Operations[Bank],flow_2[[#This Row],[Bank]],Operations[Product],flow_2[[#This Row],[Product]],Operations[Month],$B$11)</f>
        <v>2039.5</v>
      </c>
      <c r="E4" s="11">
        <f ca="1">flow_2[[#This Row],[Opening balance]]+flow_2[[#This Row],[Operations]]</f>
        <v>3739.5</v>
      </c>
      <c r="G4" t="s">
        <v>30</v>
      </c>
      <c r="H4" s="11">
        <f ca="1">SUMIFS(Operations[Amount],Operations[Month],$B$11,Operations[Category],incomes_2[[#This Row],[Category]])</f>
        <v>0</v>
      </c>
      <c r="J4" t="s">
        <v>20</v>
      </c>
      <c r="K4" s="11">
        <f ca="1">SUMIFS(Operations[Amount],Operations[Month],$B$11,Operations[Category],expenses_2[[#This Row],[Category]])</f>
        <v>-350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-175</v>
      </c>
      <c r="D5" s="11">
        <f ca="1">SUMIFS(Operations[Amount],Operations[Bank],flow_2[[#This Row],[Bank]],Operations[Product],flow_2[[#This Row],[Product]],Operations[Month],$B$11)</f>
        <v>175</v>
      </c>
      <c r="E5" s="11">
        <f ca="1">flow_2[[#This Row],[Opening balance]]+flow_2[[#This Row],[Operations]]</f>
        <v>0</v>
      </c>
      <c r="G5" t="s">
        <v>15</v>
      </c>
      <c r="H5" s="11">
        <f ca="1">SUMIFS(Operations[Amount],Operations[Month],$B$11,Operations[Category],incomes_2[[#This Row],[Category]])</f>
        <v>1950</v>
      </c>
      <c r="J5" t="s">
        <v>9</v>
      </c>
      <c r="K5" s="11">
        <f ca="1">SUMIFS(Operations[Amount],Operations[Month],$B$11,Operations[Category],expenses_2[[#This Row],[Category]])</f>
        <v>-405.5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1600</v>
      </c>
      <c r="D6" s="11">
        <f ca="1">SUMIFS(Operations[Amount],Operations[Bank],flow_2[[#This Row],[Bank]],Operations[Product],flow_2[[#This Row],[Product]],Operations[Month],$B$11)</f>
        <v>-400</v>
      </c>
      <c r="E6" s="11">
        <f ca="1">flow_2[[#This Row],[Opening balance]]+flow_2[[#This Row],[Operations]]</f>
        <v>1200</v>
      </c>
      <c r="G6" t="s">
        <v>10</v>
      </c>
      <c r="H6" s="11">
        <f ca="1">SUMIFS(Operations[Amount],Operations[Month],$B$11,Operations[Category],incomes_2[[#This Row],[Category]])</f>
        <v>4500</v>
      </c>
      <c r="J6" t="s">
        <v>28</v>
      </c>
      <c r="K6" s="11">
        <f ca="1">SUMIFS(Operations[Amount],Operations[Month],$B$11,Operations[Category],expenses_2[[#This Row],[Category]])</f>
        <v>-250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150</v>
      </c>
      <c r="D7" s="11">
        <f ca="1">SUMIFS(Operations[Amount],Operations[Bank],flow_2[[#This Row],[Bank]],Operations[Product],flow_2[[#This Row],[Product]],Operations[Month],$B$11)</f>
        <v>100</v>
      </c>
      <c r="E7" s="11">
        <f ca="1">flow_2[[#This Row],[Opening balance]]+flow_2[[#This Row],[Operations]]</f>
        <v>250</v>
      </c>
      <c r="G7" t="s">
        <v>31</v>
      </c>
      <c r="H7" s="11">
        <f ca="1">SUMIFS(Operations[Amount],Operations[Month],$B$11,Operations[Category],incomes_2[[#This Row],[Category]])</f>
        <v>0</v>
      </c>
      <c r="J7" t="s">
        <v>14</v>
      </c>
      <c r="K7" s="11">
        <f ca="1">SUMIFS(Operations[Amount],Operations[Month],$B$11,Operations[Category],expenses_2[[#This Row],[Category]])</f>
        <v>-150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180</v>
      </c>
      <c r="D8" s="11">
        <f ca="1">SUMIFS(Operations[Amount],Operations[Bank],flow_2[[#This Row],[Bank]],Operations[Product],flow_2[[#This Row],[Product]],Operations[Month],$B$11)</f>
        <v>500</v>
      </c>
      <c r="E8" s="11">
        <f ca="1">flow_2[[#This Row],[Opening balance]]+flow_2[[#This Row],[Operations]]</f>
        <v>680</v>
      </c>
      <c r="G8" t="s">
        <v>37</v>
      </c>
      <c r="H8" s="12">
        <f ca="1">SUBTOTAL(109,incomes_2[Total])</f>
        <v>6565</v>
      </c>
      <c r="J8" t="s">
        <v>17</v>
      </c>
      <c r="K8" s="11">
        <f ca="1">SUMIFS(Operations[Amount],Operations[Month],$B$11,Operations[Category],expenses_2[[#This Row],[Category]])</f>
        <v>-765</v>
      </c>
    </row>
    <row r="9" spans="1:11" x14ac:dyDescent="0.25">
      <c r="A9" t="s">
        <v>37</v>
      </c>
      <c r="C9" s="11">
        <f ca="1">SUBTOTAL(109,flow_2[Opening balance])</f>
        <v>3786</v>
      </c>
      <c r="D9" s="11">
        <f ca="1">SUBTOTAL(109,flow_2[Operations])</f>
        <v>2464.5</v>
      </c>
      <c r="E9" s="11">
        <f ca="1">SUBTOTAL(109,flow_2[Closing balance])</f>
        <v>6250.5</v>
      </c>
      <c r="J9" t="s">
        <v>23</v>
      </c>
      <c r="K9" s="11">
        <f ca="1">SUMIFS(Operations[Amount],Operations[Month],$B$11,Operations[Category],expenses_2[[#This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SUMIFS(Operations[Amount],Operations[Month],$B$11,Operations[Category],expenses_2[[#This Row],[Category]])</f>
        <v>-80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2</v>
      </c>
      <c r="J11" t="s">
        <v>37</v>
      </c>
      <c r="K11" s="11">
        <f ca="1">SUBTOTAL(109,expenses_2[Total])</f>
        <v>-4100.5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SUMIFS(Operations[Amount],Operations[Month],$B$11,Operations[Type],balance_2[[#This Row],[Type]])</f>
        <v>-4100.5</v>
      </c>
    </row>
    <row r="15" spans="1:11" x14ac:dyDescent="0.25">
      <c r="A15" t="s">
        <v>33</v>
      </c>
      <c r="B15" s="11">
        <f ca="1">SUMIFS(Operations[Amount],Operations[Month],$B$11,Operations[Type],balance_2[[#This Row],[Type]])</f>
        <v>6565</v>
      </c>
    </row>
    <row r="16" spans="1:11" x14ac:dyDescent="0.25">
      <c r="A16" t="s">
        <v>29</v>
      </c>
      <c r="B16" s="11">
        <f ca="1">SUMIFS(Operations[Amount],Operations[Month],$B$11,Operations[Type],balance_2[[#This Row],[Type]])</f>
        <v>0</v>
      </c>
    </row>
    <row r="17" spans="1:2" x14ac:dyDescent="0.25">
      <c r="A17" t="s">
        <v>37</v>
      </c>
      <c r="B17" s="11">
        <f ca="1">SUBTOTAL(109,balance_2[Total])</f>
        <v>2464.5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84F1-BC49-4E77-83AC-E4762FB2C7DB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100</v>
      </c>
      <c r="D2" s="11">
        <f ca="1">SUMIFS(Operations[Amount],Operations[Bank],flow_3[[#This Row],[Bank]],Operations[Product],flow_3[[#This Row],[Product]],Operations[Month],$B$11)</f>
        <v>67.5</v>
      </c>
      <c r="E2" s="11">
        <f ca="1">flow_3[[#This Row],[Opening balance]]+flow_3[[#This Row],[Operations]]</f>
        <v>167.5</v>
      </c>
      <c r="G2" t="s">
        <v>19</v>
      </c>
      <c r="H2" s="11">
        <f ca="1">SUMIFS(Operations[Amount],Operations[Month],$B$11,Operations[Category],incomes_3[[#This Row],[Category]])</f>
        <v>0</v>
      </c>
      <c r="J2" t="s">
        <v>11</v>
      </c>
      <c r="K2" s="11">
        <f ca="1">SUMIFS(Operations[Amount],Operations[Month],$B$11,Operations[Category],expenses_3[[#This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281</v>
      </c>
      <c r="D3" s="11">
        <f ca="1">SUMIFS(Operations[Amount],Operations[Bank],flow_3[[#This Row],[Bank]],Operations[Product],flow_3[[#This Row],[Product]],Operations[Month],$B$11)</f>
        <v>5</v>
      </c>
      <c r="E3" s="11">
        <f ca="1">flow_3[[#This Row],[Opening balance]]+flow_3[[#This Row],[Operations]]</f>
        <v>286</v>
      </c>
      <c r="G3" t="s">
        <v>27</v>
      </c>
      <c r="H3" s="11">
        <f ca="1">SUMIFS(Operations[Amount],Operations[Month],$B$11,Operations[Category],incomes_3[[#This Row],[Category]])</f>
        <v>150</v>
      </c>
      <c r="J3" t="s">
        <v>22</v>
      </c>
      <c r="K3" s="11">
        <f ca="1">SUMIFS(Operations[Amount],Operations[Month],$B$11,Operations[Category],expenses_3[[#This Row],[Category]])</f>
        <v>-469.9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3739.5</v>
      </c>
      <c r="D4" s="11">
        <f ca="1">SUMIFS(Operations[Amount],Operations[Bank],flow_3[[#This Row],[Bank]],Operations[Product],flow_3[[#This Row],[Product]],Operations[Month],$B$11)</f>
        <v>821.59999999999991</v>
      </c>
      <c r="E4" s="11">
        <f ca="1">flow_3[[#This Row],[Opening balance]]+flow_3[[#This Row],[Operations]]</f>
        <v>4561.1000000000004</v>
      </c>
      <c r="G4" t="s">
        <v>30</v>
      </c>
      <c r="H4" s="11">
        <f ca="1">SUMIFS(Operations[Amount],Operations[Month],$B$11,Operations[Category],incomes_3[[#This Row],[Category]])</f>
        <v>5</v>
      </c>
      <c r="J4" t="s">
        <v>20</v>
      </c>
      <c r="K4" s="11">
        <f ca="1">SUMIFS(Operations[Amount],Operations[Month],$B$11,Operations[Category],expenses_3[[#This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SUMIFS(Operations[Amount],Operations[Bank],flow_3[[#This Row],[Bank]],Operations[Product],flow_3[[#This Row],[Product]],Operations[Month],$B$11)</f>
        <v>-104.5</v>
      </c>
      <c r="E5" s="11">
        <f ca="1">flow_3[[#This Row],[Opening balance]]+flow_3[[#This Row],[Operations]]</f>
        <v>-104.5</v>
      </c>
      <c r="G5" t="s">
        <v>15</v>
      </c>
      <c r="H5" s="11">
        <f ca="1">SUMIFS(Operations[Amount],Operations[Month],$B$11,Operations[Category],incomes_3[[#This Row],[Category]])</f>
        <v>0</v>
      </c>
      <c r="J5" t="s">
        <v>9</v>
      </c>
      <c r="K5" s="11">
        <f ca="1">SUMIFS(Operations[Amount],Operations[Month],$B$11,Operations[Category],expenses_3[[#This Row],[Category]])</f>
        <v>-734.99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SUMIFS(Operations[Amount],Operations[Bank],flow_3[[#This Row],[Bank]],Operations[Product],flow_3[[#This Row],[Product]],Operations[Month],$B$11)</f>
        <v>0</v>
      </c>
      <c r="E6" s="11">
        <f ca="1">flow_3[[#This Row],[Opening balance]]+flow_3[[#This Row],[Operations]]</f>
        <v>1200</v>
      </c>
      <c r="G6" t="s">
        <v>10</v>
      </c>
      <c r="H6" s="11">
        <f ca="1">SUMIFS(Operations[Amount],Operations[Month],$B$11,Operations[Category],incomes_3[[#This Row],[Category]])</f>
        <v>4500</v>
      </c>
      <c r="J6" t="s">
        <v>28</v>
      </c>
      <c r="K6" s="11">
        <f ca="1">SUMIFS(Operations[Amount],Operations[Month],$B$11,Operations[Category],expenses_3[[#This Row],[Category]])</f>
        <v>-9.5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250</v>
      </c>
      <c r="D7" s="11">
        <f ca="1">SUMIFS(Operations[Amount],Operations[Bank],flow_3[[#This Row],[Bank]],Operations[Product],flow_3[[#This Row],[Product]],Operations[Month],$B$11)</f>
        <v>-24.49</v>
      </c>
      <c r="E7" s="11">
        <f ca="1">flow_3[[#This Row],[Opening balance]]+flow_3[[#This Row],[Operations]]</f>
        <v>225.51</v>
      </c>
      <c r="G7" t="s">
        <v>31</v>
      </c>
      <c r="H7" s="11">
        <f ca="1">SUMIFS(Operations[Amount],Operations[Month],$B$11,Operations[Category],incomes_3[[#This Row],[Category]])</f>
        <v>0</v>
      </c>
      <c r="J7" t="s">
        <v>14</v>
      </c>
      <c r="K7" s="11">
        <f ca="1">SUMIFS(Operations[Amount],Operations[Month],$B$11,Operations[Category],expenses_3[[#This Row],[Category]])</f>
        <v>-23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680</v>
      </c>
      <c r="D8" s="11">
        <f ca="1">SUMIFS(Operations[Amount],Operations[Bank],flow_3[[#This Row],[Bank]],Operations[Product],flow_3[[#This Row],[Product]],Operations[Month],$B$11)</f>
        <v>-9.5</v>
      </c>
      <c r="E8" s="11">
        <f ca="1">flow_3[[#This Row],[Opening balance]]+flow_3[[#This Row],[Operations]]</f>
        <v>670.5</v>
      </c>
      <c r="G8" t="s">
        <v>37</v>
      </c>
      <c r="H8" s="12">
        <f ca="1">SUBTOTAL(109,incomes_3[Total])</f>
        <v>4655</v>
      </c>
      <c r="J8" t="s">
        <v>17</v>
      </c>
      <c r="K8" s="11">
        <f ca="1">SUMIFS(Operations[Amount],Operations[Month],$B$11,Operations[Category],expenses_3[[#This Row],[Category]])</f>
        <v>-300</v>
      </c>
    </row>
    <row r="9" spans="1:11" x14ac:dyDescent="0.25">
      <c r="A9" t="s">
        <v>37</v>
      </c>
      <c r="C9" s="11">
        <f ca="1">SUBTOTAL(109,flow_3[Opening balance])</f>
        <v>6250.5</v>
      </c>
      <c r="D9" s="11">
        <f ca="1">SUBTOTAL(109,flow_3[Operations])</f>
        <v>755.6099999999999</v>
      </c>
      <c r="E9" s="11">
        <f ca="1">SUBTOTAL(109,flow_3[Closing balance])</f>
        <v>7006.1100000000006</v>
      </c>
      <c r="J9" t="s">
        <v>23</v>
      </c>
      <c r="K9" s="11">
        <f ca="1">SUMIFS(Operations[Amount],Operations[Month],$B$11,Operations[Category],expenses_3[[#This Row],[Category]])</f>
        <v>-79.5</v>
      </c>
    </row>
    <row r="10" spans="1:11" x14ac:dyDescent="0.25">
      <c r="J10" t="s">
        <v>21</v>
      </c>
      <c r="K10" s="11">
        <f ca="1">SUMIFS(Operations[Amount],Operations[Month],$B$11,Operations[Category],expenses_3[[#This Row],[Category]])</f>
        <v>-82.5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3</v>
      </c>
      <c r="J11" t="s">
        <v>37</v>
      </c>
      <c r="K11" s="11">
        <f ca="1">SUBTOTAL(109,expenses_3[Total])</f>
        <v>-3899.3900000000003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SUMIFS(Operations[Amount],Operations[Month],$B$11,Operations[Type],balance_3[[#This Row],[Type]])</f>
        <v>-3899.39</v>
      </c>
    </row>
    <row r="15" spans="1:11" x14ac:dyDescent="0.25">
      <c r="A15" t="s">
        <v>33</v>
      </c>
      <c r="B15" s="11">
        <f ca="1">SUMIFS(Operations[Amount],Operations[Month],$B$11,Operations[Type],balance_3[[#This Row],[Type]])</f>
        <v>4655</v>
      </c>
    </row>
    <row r="16" spans="1:11" x14ac:dyDescent="0.25">
      <c r="A16" t="s">
        <v>29</v>
      </c>
      <c r="B16" s="11">
        <f ca="1">SUMIFS(Operations[Amount],Operations[Month],$B$11,Operations[Type],balance_3[[#This Row],[Type]])</f>
        <v>0</v>
      </c>
    </row>
    <row r="17" spans="1:2" x14ac:dyDescent="0.25">
      <c r="A17" t="s">
        <v>37</v>
      </c>
      <c r="B17" s="11">
        <f ca="1">SUBTOTAL(109,balance_3[Total])</f>
        <v>755.61000000000013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2695-6178-4A59-9EA1-F2B6AF5D5A77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167.5</v>
      </c>
      <c r="D2" s="11">
        <f ca="1">SUMIFS(Operations[Amount],Operations[Bank],flow_4[[#This Row],[Bank]],Operations[Product],flow_4[[#This Row],[Product]],Operations[Month],$B$11)</f>
        <v>101</v>
      </c>
      <c r="E2" s="11">
        <f ca="1">flow_4[[#This Row],[Opening balance]]+flow_4[[#This Row],[Operations]]</f>
        <v>268.5</v>
      </c>
      <c r="G2" t="s">
        <v>19</v>
      </c>
      <c r="H2" s="11">
        <f ca="1">SUMIFS(Operations[Amount],Operations[Month],$B$11,Operations[Category],incomes_4[[#This Row],[Category]])</f>
        <v>0</v>
      </c>
      <c r="J2" t="s">
        <v>11</v>
      </c>
      <c r="K2" s="11">
        <f ca="1">SUMIFS(Operations[Amount],Operations[Month],$B$11,Operations[Category],expenses_4[[#This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286</v>
      </c>
      <c r="D3" s="11">
        <f ca="1">SUMIFS(Operations[Amount],Operations[Bank],flow_4[[#This Row],[Bank]],Operations[Product],flow_4[[#This Row],[Product]],Operations[Month],$B$11)</f>
        <v>50</v>
      </c>
      <c r="E3" s="11">
        <f ca="1">flow_4[[#This Row],[Opening balance]]+flow_4[[#This Row],[Operations]]</f>
        <v>336</v>
      </c>
      <c r="G3" t="s">
        <v>27</v>
      </c>
      <c r="H3" s="11">
        <f ca="1">SUMIFS(Operations[Amount],Operations[Month],$B$11,Operations[Category],incomes_4[[#This Row],[Category]])</f>
        <v>150</v>
      </c>
      <c r="J3" t="s">
        <v>22</v>
      </c>
      <c r="K3" s="11">
        <f ca="1">SUMIFS(Operations[Amount],Operations[Month],$B$11,Operations[Category],expenses_4[[#This Row],[Category]])</f>
        <v>-149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4561.1000000000004</v>
      </c>
      <c r="D4" s="11">
        <f ca="1">SUMIFS(Operations[Amount],Operations[Bank],flow_4[[#This Row],[Bank]],Operations[Product],flow_4[[#This Row],[Product]],Operations[Month],$B$11)</f>
        <v>562.72999999999968</v>
      </c>
      <c r="E4" s="11">
        <f ca="1">flow_4[[#This Row],[Opening balance]]+flow_4[[#This Row],[Operations]]</f>
        <v>5123.83</v>
      </c>
      <c r="G4" t="s">
        <v>30</v>
      </c>
      <c r="H4" s="11">
        <f ca="1">SUMIFS(Operations[Amount],Operations[Month],$B$11,Operations[Category],incomes_4[[#This Row],[Category]])</f>
        <v>50</v>
      </c>
      <c r="J4" t="s">
        <v>20</v>
      </c>
      <c r="K4" s="11">
        <f ca="1">SUMIFS(Operations[Amount],Operations[Month],$B$11,Operations[Category],expenses_4[[#This Row],[Category]])</f>
        <v>-1057.9000000000001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-104.5</v>
      </c>
      <c r="D5" s="11">
        <f ca="1">SUMIFS(Operations[Amount],Operations[Bank],flow_4[[#This Row],[Bank]],Operations[Product],flow_4[[#This Row],[Product]],Operations[Month],$B$11)</f>
        <v>13.110000000000007</v>
      </c>
      <c r="E5" s="11">
        <f ca="1">flow_4[[#This Row],[Opening balance]]+flow_4[[#This Row],[Operations]]</f>
        <v>-91.389999999999986</v>
      </c>
      <c r="G5" t="s">
        <v>15</v>
      </c>
      <c r="H5" s="11">
        <f ca="1">SUMIFS(Operations[Amount],Operations[Month],$B$11,Operations[Category],incomes_4[[#This Row],[Category]])</f>
        <v>0</v>
      </c>
      <c r="J5" t="s">
        <v>9</v>
      </c>
      <c r="K5" s="11">
        <f ca="1">SUMIFS(Operations[Amount],Operations[Month],$B$11,Operations[Category],expenses_4[[#This Row],[Category]])</f>
        <v>-372.26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SUMIFS(Operations[Amount],Operations[Bank],flow_4[[#This Row],[Bank]],Operations[Product],flow_4[[#This Row],[Product]],Operations[Month],$B$11)</f>
        <v>0</v>
      </c>
      <c r="E6" s="11">
        <f ca="1">flow_4[[#This Row],[Opening balance]]+flow_4[[#This Row],[Operations]]</f>
        <v>1200</v>
      </c>
      <c r="G6" t="s">
        <v>10</v>
      </c>
      <c r="H6" s="11">
        <f ca="1">SUMIFS(Operations[Amount],Operations[Month],$B$11,Operations[Category],incomes_4[[#This Row],[Category]])</f>
        <v>4500</v>
      </c>
      <c r="J6" t="s">
        <v>28</v>
      </c>
      <c r="K6" s="11">
        <f ca="1">SUMIFS(Operations[Amount],Operations[Month],$B$11,Operations[Category],expenses_4[[#This Row],[Category]])</f>
        <v>-23.5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SUMIFS(Operations[Amount],Operations[Bank],flow_4[[#This Row],[Bank]],Operations[Product],flow_4[[#This Row],[Product]],Operations[Month],$B$11)</f>
        <v>0</v>
      </c>
      <c r="E7" s="11">
        <f ca="1">flow_4[[#This Row],[Opening balance]]+flow_4[[#This Row],[Operations]]</f>
        <v>225.51</v>
      </c>
      <c r="G7" t="s">
        <v>31</v>
      </c>
      <c r="H7" s="11">
        <f ca="1">SUMIFS(Operations[Amount],Operations[Month],$B$11,Operations[Category],incomes_4[[#This Row],[Category]])</f>
        <v>0</v>
      </c>
      <c r="J7" t="s">
        <v>14</v>
      </c>
      <c r="K7" s="11">
        <f ca="1">SUMIFS(Operations[Amount],Operations[Month],$B$11,Operations[Category],expenses_4[[#This Row],[Category]])</f>
        <v>-49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SUMIFS(Operations[Amount],Operations[Bank],flow_4[[#This Row],[Bank]],Operations[Product],flow_4[[#This Row],[Product]],Operations[Month],$B$11)</f>
        <v>0</v>
      </c>
      <c r="E8" s="11">
        <f ca="1">flow_4[[#This Row],[Opening balance]]+flow_4[[#This Row],[Operations]]</f>
        <v>670.5</v>
      </c>
      <c r="G8" t="s">
        <v>37</v>
      </c>
      <c r="H8" s="12">
        <f ca="1">SUBTOTAL(109,incomes_4[Total])</f>
        <v>4700</v>
      </c>
      <c r="J8" t="s">
        <v>17</v>
      </c>
      <c r="K8" s="11">
        <f ca="1">SUMIFS(Operations[Amount],Operations[Month],$B$11,Operations[Category],expenses_4[[#This Row],[Category]])</f>
        <v>-100</v>
      </c>
    </row>
    <row r="9" spans="1:11" x14ac:dyDescent="0.25">
      <c r="A9" t="s">
        <v>37</v>
      </c>
      <c r="C9" s="11">
        <f ca="1">SUBTOTAL(109,flow_4[Opening balance])</f>
        <v>7006.1100000000006</v>
      </c>
      <c r="D9" s="11">
        <f ca="1">SUBTOTAL(109,flow_4[Operations])</f>
        <v>726.83999999999969</v>
      </c>
      <c r="E9" s="11">
        <f ca="1">SUBTOTAL(109,flow_4[Closing balance])</f>
        <v>7732.95</v>
      </c>
      <c r="J9" t="s">
        <v>23</v>
      </c>
      <c r="K9" s="11">
        <f ca="1">SUMIFS(Operations[Amount],Operations[Month],$B$11,Operations[Category],expenses_4[[#This Row],[Category]])</f>
        <v>-139</v>
      </c>
    </row>
    <row r="10" spans="1:11" x14ac:dyDescent="0.25">
      <c r="J10" t="s">
        <v>21</v>
      </c>
      <c r="K10" s="11">
        <f ca="1">SUMIFS(Operations[Amount],Operations[Month],$B$11,Operations[Category],expenses_4[[#This Row],[Category]])</f>
        <v>-82.5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4</v>
      </c>
      <c r="J11" t="s">
        <v>37</v>
      </c>
      <c r="K11" s="11">
        <f ca="1">SUBTOTAL(109,expenses_4[Total])</f>
        <v>-3973.16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SUMIFS(Operations[Amount],Operations[Month],$B$11,Operations[Type],balance_4[[#This Row],[Type]])</f>
        <v>-3973.16</v>
      </c>
    </row>
    <row r="15" spans="1:11" x14ac:dyDescent="0.25">
      <c r="A15" t="s">
        <v>33</v>
      </c>
      <c r="B15" s="11">
        <f ca="1">SUMIFS(Operations[Amount],Operations[Month],$B$11,Operations[Type],balance_4[[#This Row],[Type]])</f>
        <v>4700</v>
      </c>
    </row>
    <row r="16" spans="1:11" x14ac:dyDescent="0.25">
      <c r="A16" t="s">
        <v>29</v>
      </c>
      <c r="B16" s="11">
        <f ca="1">SUMIFS(Operations[Amount],Operations[Month],$B$11,Operations[Type],balance_4[[#This Row],[Type]])</f>
        <v>0</v>
      </c>
    </row>
    <row r="17" spans="1:2" x14ac:dyDescent="0.25">
      <c r="A17" t="s">
        <v>37</v>
      </c>
      <c r="B17" s="11">
        <f ca="1">SUBTOTAL(109,balance_4[Total])</f>
        <v>726.84000000000015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693A-7BBD-4162-8F55-963C0E37CA6F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268.5</v>
      </c>
      <c r="D2" s="11">
        <f ca="1">SUMIFS(Operations[Amount],Operations[Bank],flow_5[[#This Row],[Bank]],Operations[Product],flow_5[[#This Row],[Product]],Operations[Month],$B$11)</f>
        <v>-50</v>
      </c>
      <c r="E2" s="11">
        <f ca="1">flow_5[[#This Row],[Opening balance]]+flow_5[[#This Row],[Operations]]</f>
        <v>218.5</v>
      </c>
      <c r="G2" t="s">
        <v>19</v>
      </c>
      <c r="H2" s="11">
        <f ca="1">SUMIFS(Operations[Amount],Operations[Month],$B$11,Operations[Category],incomes_5[[#This Row],[Category]])</f>
        <v>0</v>
      </c>
      <c r="J2" t="s">
        <v>11</v>
      </c>
      <c r="K2" s="11">
        <f ca="1">SUMIFS(Operations[Amount],Operations[Month],$B$11,Operations[Category],expenses_5[[#This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SUMIFS(Operations[Amount],Operations[Bank],flow_5[[#This Row],[Bank]],Operations[Product],flow_5[[#This Row],[Product]],Operations[Month],$B$11)</f>
        <v>0</v>
      </c>
      <c r="E3" s="11">
        <f ca="1">flow_5[[#This Row],[Opening balance]]+flow_5[[#This Row],[Operations]]</f>
        <v>336</v>
      </c>
      <c r="G3" t="s">
        <v>27</v>
      </c>
      <c r="H3" s="11">
        <f ca="1">SUMIFS(Operations[Amount],Operations[Month],$B$11,Operations[Category],incomes_5[[#This Row],[Category]])</f>
        <v>0</v>
      </c>
      <c r="J3" t="s">
        <v>22</v>
      </c>
      <c r="K3" s="11">
        <f ca="1">SUMIFS(Operations[Amount],Operations[Month],$B$11,Operations[Category],expenses_5[[#This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5123.83</v>
      </c>
      <c r="D4" s="11">
        <f ca="1">SUMIFS(Operations[Amount],Operations[Bank],flow_5[[#This Row],[Bank]],Operations[Product],flow_5[[#This Row],[Product]],Operations[Month],$B$11)</f>
        <v>2328.61</v>
      </c>
      <c r="E4" s="11">
        <f ca="1">flow_5[[#This Row],[Opening balance]]+flow_5[[#This Row],[Operations]]</f>
        <v>7452.4400000000005</v>
      </c>
      <c r="G4" t="s">
        <v>30</v>
      </c>
      <c r="H4" s="11">
        <f ca="1">SUMIFS(Operations[Amount],Operations[Month],$B$11,Operations[Category],incomes_5[[#This Row],[Category]])</f>
        <v>0</v>
      </c>
      <c r="J4" t="s">
        <v>20</v>
      </c>
      <c r="K4" s="11">
        <f ca="1">SUMIFS(Operations[Amount],Operations[Month],$B$11,Operations[Category],expenses_5[[#This Row],[Category]])</f>
        <v>-80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-91.389999999999986</v>
      </c>
      <c r="D5" s="11">
        <f ca="1">SUMIFS(Operations[Amount],Operations[Bank],flow_5[[#This Row],[Bank]],Operations[Product],flow_5[[#This Row],[Product]],Operations[Month],$B$11)</f>
        <v>-908.61</v>
      </c>
      <c r="E5" s="11">
        <f ca="1">flow_5[[#This Row],[Opening balance]]+flow_5[[#This Row],[Operations]]</f>
        <v>-1000</v>
      </c>
      <c r="G5" t="s">
        <v>15</v>
      </c>
      <c r="H5" s="11">
        <f ca="1">SUMIFS(Operations[Amount],Operations[Month],$B$11,Operations[Category],incomes_5[[#This Row],[Category]])</f>
        <v>0</v>
      </c>
      <c r="J5" t="s">
        <v>9</v>
      </c>
      <c r="K5" s="11">
        <f ca="1">SUMIFS(Operations[Amount],Operations[Month],$B$11,Operations[Category],expenses_5[[#This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SUMIFS(Operations[Amount],Operations[Bank],flow_5[[#This Row],[Bank]],Operations[Product],flow_5[[#This Row],[Product]],Operations[Month],$B$11)</f>
        <v>0</v>
      </c>
      <c r="E6" s="11">
        <f ca="1">flow_5[[#This Row],[Opening balance]]+flow_5[[#This Row],[Operations]]</f>
        <v>1200</v>
      </c>
      <c r="G6" t="s">
        <v>10</v>
      </c>
      <c r="H6" s="11">
        <f ca="1">SUMIFS(Operations[Amount],Operations[Month],$B$11,Operations[Category],incomes_5[[#This Row],[Category]])</f>
        <v>4500</v>
      </c>
      <c r="J6" t="s">
        <v>28</v>
      </c>
      <c r="K6" s="11">
        <f ca="1">SUMIFS(Operations[Amount],Operations[Month],$B$11,Operations[Category],expenses_5[[#This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SUMIFS(Operations[Amount],Operations[Bank],flow_5[[#This Row],[Bank]],Operations[Product],flow_5[[#This Row],[Product]],Operations[Month],$B$11)</f>
        <v>0</v>
      </c>
      <c r="E7" s="11">
        <f ca="1">flow_5[[#This Row],[Opening balance]]+flow_5[[#This Row],[Operations]]</f>
        <v>225.51</v>
      </c>
      <c r="G7" t="s">
        <v>31</v>
      </c>
      <c r="H7" s="11">
        <f ca="1">SUMIFS(Operations[Amount],Operations[Month],$B$11,Operations[Category],incomes_5[[#This Row],[Category]])</f>
        <v>0</v>
      </c>
      <c r="J7" t="s">
        <v>14</v>
      </c>
      <c r="K7" s="11">
        <f ca="1">SUMIFS(Operations[Amount],Operations[Month],$B$11,Operations[Category],expenses_5[[#This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670.5</v>
      </c>
      <c r="D8" s="11">
        <f ca="1">SUMIFS(Operations[Amount],Operations[Bank],flow_5[[#This Row],[Bank]],Operations[Product],flow_5[[#This Row],[Product]],Operations[Month],$B$11)</f>
        <v>-80</v>
      </c>
      <c r="E8" s="11">
        <f ca="1">flow_5[[#This Row],[Opening balance]]+flow_5[[#This Row],[Operations]]</f>
        <v>590.5</v>
      </c>
      <c r="G8" t="s">
        <v>37</v>
      </c>
      <c r="H8" s="12">
        <f ca="1">SUBTOTAL(109,incomes_5[Total])</f>
        <v>4500</v>
      </c>
      <c r="J8" t="s">
        <v>17</v>
      </c>
      <c r="K8" s="11">
        <f ca="1">SUMIFS(Operations[Amount],Operations[Month],$B$11,Operations[Category],expenses_5[[#This Row],[Category]])</f>
        <v>0</v>
      </c>
    </row>
    <row r="9" spans="1:11" x14ac:dyDescent="0.25">
      <c r="A9" t="s">
        <v>37</v>
      </c>
      <c r="C9" s="11">
        <f ca="1">SUBTOTAL(109,flow_5[Opening balance])</f>
        <v>7732.95</v>
      </c>
      <c r="D9" s="11">
        <f ca="1">SUBTOTAL(109,flow_5[Operations])</f>
        <v>1290</v>
      </c>
      <c r="E9" s="11">
        <f ca="1">SUBTOTAL(109,flow_5[Closing balance])</f>
        <v>9022.9500000000007</v>
      </c>
      <c r="J9" t="s">
        <v>23</v>
      </c>
      <c r="K9" s="11">
        <f ca="1">SUMIFS(Operations[Amount],Operations[Month],$B$11,Operations[Category],expenses_5[[#This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SUMIFS(Operations[Amount],Operations[Month],$B$11,Operations[Category],expenses_5[[#This Row],[Category]])</f>
        <v>-80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5</v>
      </c>
      <c r="J11" t="s">
        <v>37</v>
      </c>
      <c r="K11" s="11">
        <f ca="1">SUBTOTAL(109,expenses_5[Total])</f>
        <v>-3210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SUMIFS(Operations[Amount],Operations[Month],$B$11,Operations[Type],balance_5[[#This Row],[Type]])</f>
        <v>-3210</v>
      </c>
    </row>
    <row r="15" spans="1:11" x14ac:dyDescent="0.25">
      <c r="A15" t="s">
        <v>33</v>
      </c>
      <c r="B15" s="11">
        <f ca="1">SUMIFS(Operations[Amount],Operations[Month],$B$11,Operations[Type],balance_5[[#This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SUMIFS(Operations[Amount],Operations[Month],$B$11,Operations[Type],balance_5[[#This Row],[Type]])</f>
        <v>0</v>
      </c>
    </row>
    <row r="17" spans="1:2" x14ac:dyDescent="0.25">
      <c r="A17" t="s">
        <v>37</v>
      </c>
      <c r="B17" s="11">
        <f ca="1">SUBTOTAL(109,balance_5[Total])</f>
        <v>1290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8AFC-CCC0-49BD-9D3D-BFAEAFC910B4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218.5</v>
      </c>
      <c r="D2" s="11">
        <f ca="1">SUMIFS(Operations[Amount],Operations[Bank],flow_6[[#This Row],[Bank]],Operations[Product],flow_6[[#This Row],[Product]],Operations[Month],$B$11)</f>
        <v>250</v>
      </c>
      <c r="E2" s="11">
        <f ca="1">flow_6[[#This Row],[Opening balance]]+flow_6[[#This Row],[Operations]]</f>
        <v>468.5</v>
      </c>
      <c r="G2" t="s">
        <v>19</v>
      </c>
      <c r="H2" s="11">
        <f ca="1">SUMIFS(Operations[Amount],Operations[Month],$B$11,Operations[Category],incomes_6[[#This Row],[Category]])</f>
        <v>400</v>
      </c>
      <c r="J2" t="s">
        <v>11</v>
      </c>
      <c r="K2" s="11">
        <f ca="1">SUMIFS(Operations[Amount],Operations[Month],$B$11,Operations[Category],expenses_6[[#This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SUMIFS(Operations[Amount],Operations[Bank],flow_6[[#This Row],[Bank]],Operations[Product],flow_6[[#This Row],[Product]],Operations[Month],$B$11)</f>
        <v>0</v>
      </c>
      <c r="E3" s="11">
        <f ca="1">flow_6[[#This Row],[Opening balance]]+flow_6[[#This Row],[Operations]]</f>
        <v>336</v>
      </c>
      <c r="G3" t="s">
        <v>27</v>
      </c>
      <c r="H3" s="11">
        <f ca="1">SUMIFS(Operations[Amount],Operations[Month],$B$11,Operations[Category],incomes_6[[#This Row],[Category]])</f>
        <v>0</v>
      </c>
      <c r="J3" t="s">
        <v>22</v>
      </c>
      <c r="K3" s="11">
        <f ca="1">SUMIFS(Operations[Amount],Operations[Month],$B$11,Operations[Category],expenses_6[[#This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7452.4400000000005</v>
      </c>
      <c r="D4" s="11">
        <f ca="1">SUMIFS(Operations[Amount],Operations[Bank],flow_6[[#This Row],[Bank]],Operations[Product],flow_6[[#This Row],[Product]],Operations[Month],$B$11)</f>
        <v>1420</v>
      </c>
      <c r="E4" s="11">
        <f ca="1">flow_6[[#This Row],[Opening balance]]+flow_6[[#This Row],[Operations]]</f>
        <v>8872.44</v>
      </c>
      <c r="G4" t="s">
        <v>30</v>
      </c>
      <c r="H4" s="11">
        <f ca="1">SUMIFS(Operations[Amount],Operations[Month],$B$11,Operations[Category],incomes_6[[#This Row],[Category]])</f>
        <v>0</v>
      </c>
      <c r="J4" t="s">
        <v>20</v>
      </c>
      <c r="K4" s="11">
        <f ca="1">SUMIFS(Operations[Amount],Operations[Month],$B$11,Operations[Category],expenses_6[[#This Row],[Category]])</f>
        <v>-200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-1000</v>
      </c>
      <c r="D5" s="11">
        <f ca="1">SUMIFS(Operations[Amount],Operations[Bank],flow_6[[#This Row],[Bank]],Operations[Product],flow_6[[#This Row],[Product]],Operations[Month],$B$11)</f>
        <v>-300</v>
      </c>
      <c r="E5" s="11">
        <f ca="1">flow_6[[#This Row],[Opening balance]]+flow_6[[#This Row],[Operations]]</f>
        <v>-1300</v>
      </c>
      <c r="G5" t="s">
        <v>15</v>
      </c>
      <c r="H5" s="11">
        <f ca="1">SUMIFS(Operations[Amount],Operations[Month],$B$11,Operations[Category],incomes_6[[#This Row],[Category]])</f>
        <v>0</v>
      </c>
      <c r="J5" t="s">
        <v>9</v>
      </c>
      <c r="K5" s="11">
        <f ca="1">SUMIFS(Operations[Amount],Operations[Month],$B$11,Operations[Category],expenses_6[[#This Row],[Category]])</f>
        <v>-1000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SUMIFS(Operations[Amount],Operations[Bank],flow_6[[#This Row],[Bank]],Operations[Product],flow_6[[#This Row],[Product]],Operations[Month],$B$11)</f>
        <v>0</v>
      </c>
      <c r="E6" s="11">
        <f ca="1">flow_6[[#This Row],[Opening balance]]+flow_6[[#This Row],[Operations]]</f>
        <v>1200</v>
      </c>
      <c r="G6" t="s">
        <v>10</v>
      </c>
      <c r="H6" s="11">
        <f ca="1">SUMIFS(Operations[Amount],Operations[Month],$B$11,Operations[Category],incomes_6[[#This Row],[Category]])</f>
        <v>4500</v>
      </c>
      <c r="J6" t="s">
        <v>28</v>
      </c>
      <c r="K6" s="11">
        <f ca="1">SUMIFS(Operations[Amount],Operations[Month],$B$11,Operations[Category],expenses_6[[#This Row],[Category]])</f>
        <v>-100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SUMIFS(Operations[Amount],Operations[Bank],flow_6[[#This Row],[Bank]],Operations[Product],flow_6[[#This Row],[Product]],Operations[Month],$B$11)</f>
        <v>0</v>
      </c>
      <c r="E7" s="11">
        <f ca="1">flow_6[[#This Row],[Opening balance]]+flow_6[[#This Row],[Operations]]</f>
        <v>225.51</v>
      </c>
      <c r="G7" t="s">
        <v>31</v>
      </c>
      <c r="H7" s="11">
        <f ca="1">SUMIFS(Operations[Amount],Operations[Month],$B$11,Operations[Category],incomes_6[[#This Row],[Category]])</f>
        <v>0</v>
      </c>
      <c r="J7" t="s">
        <v>14</v>
      </c>
      <c r="K7" s="11">
        <f ca="1">SUMIFS(Operations[Amount],Operations[Month],$B$11,Operations[Category],expenses_6[[#This Row],[Category]])</f>
        <v>-50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590.5</v>
      </c>
      <c r="D8" s="11">
        <f ca="1">SUMIFS(Operations[Amount],Operations[Bank],flow_6[[#This Row],[Bank]],Operations[Product],flow_6[[#This Row],[Product]],Operations[Month],$B$11)</f>
        <v>-200</v>
      </c>
      <c r="E8" s="11">
        <f ca="1">flow_6[[#This Row],[Opening balance]]+flow_6[[#This Row],[Operations]]</f>
        <v>390.5</v>
      </c>
      <c r="G8" t="s">
        <v>37</v>
      </c>
      <c r="H8" s="12">
        <f ca="1">SUBTOTAL(109,incomes_6[Total])</f>
        <v>4900</v>
      </c>
      <c r="J8" t="s">
        <v>17</v>
      </c>
      <c r="K8" s="11">
        <f ca="1">SUMIFS(Operations[Amount],Operations[Month],$B$11,Operations[Category],expenses_6[[#This Row],[Category]])</f>
        <v>0</v>
      </c>
    </row>
    <row r="9" spans="1:11" x14ac:dyDescent="0.25">
      <c r="A9" t="s">
        <v>37</v>
      </c>
      <c r="C9" s="11">
        <f ca="1">SUBTOTAL(109,flow_6[Opening balance])</f>
        <v>9022.9500000000007</v>
      </c>
      <c r="D9" s="11">
        <f ca="1">SUBTOTAL(109,flow_6[Operations])</f>
        <v>1170</v>
      </c>
      <c r="E9" s="11">
        <f ca="1">SUBTOTAL(109,flow_6[Closing balance])</f>
        <v>10192.950000000001</v>
      </c>
      <c r="J9" t="s">
        <v>23</v>
      </c>
      <c r="K9" s="11">
        <f ca="1">SUMIFS(Operations[Amount],Operations[Month],$B$11,Operations[Category],expenses_6[[#This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SUMIFS(Operations[Amount],Operations[Month],$B$11,Operations[Category],expenses_6[[#This Row],[Category]])</f>
        <v>-80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6</v>
      </c>
      <c r="J11" t="s">
        <v>37</v>
      </c>
      <c r="K11" s="11">
        <f ca="1">SUBTOTAL(109,expenses_6[Total])</f>
        <v>-3730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SUMIFS(Operations[Amount],Operations[Month],$B$11,Operations[Type],balance_6[[#This Row],[Type]])</f>
        <v>-3730</v>
      </c>
    </row>
    <row r="15" spans="1:11" x14ac:dyDescent="0.25">
      <c r="A15" t="s">
        <v>33</v>
      </c>
      <c r="B15" s="11">
        <f ca="1">SUMIFS(Operations[Amount],Operations[Month],$B$11,Operations[Type],balance_6[[#This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SUMIFS(Operations[Amount],Operations[Month],$B$11,Operations[Type],balance_6[[#This Row],[Type]])</f>
        <v>0</v>
      </c>
    </row>
    <row r="17" spans="1:2" x14ac:dyDescent="0.25">
      <c r="A17" t="s">
        <v>37</v>
      </c>
      <c r="B17" s="11">
        <f ca="1">SUBTOTAL(109,balance_6[Total])</f>
        <v>1170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89C9-C003-4447-98B6-EEC8F05C41F8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468.5</v>
      </c>
      <c r="D2" s="11">
        <f ca="1">SUMIFS(Operations[Amount],Operations[Bank],flow_7[[#This Row],[Bank]],Operations[Product],flow_7[[#This Row],[Product]],Operations[Month],$B$11)</f>
        <v>-100</v>
      </c>
      <c r="E2" s="11">
        <f ca="1">flow_7[[#This Row],[Opening balance]]+flow_7[[#This Row],[Operations]]</f>
        <v>368.5</v>
      </c>
      <c r="G2" t="s">
        <v>19</v>
      </c>
      <c r="H2" s="11">
        <f ca="1">SUMIFS(Operations[Amount],Operations[Month],$B$11,Operations[Category],incomes_7[[#This Row],[Category]])</f>
        <v>0</v>
      </c>
      <c r="J2" t="s">
        <v>11</v>
      </c>
      <c r="K2" s="11">
        <f ca="1">SUMIFS(Operations[Amount],Operations[Month],$B$11,Operations[Category],expenses_7[[#This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336</v>
      </c>
      <c r="D3" s="11">
        <f ca="1">SUMIFS(Operations[Amount],Operations[Bank],flow_7[[#This Row],[Bank]],Operations[Product],flow_7[[#This Row],[Product]],Operations[Month],$B$11)</f>
        <v>1050</v>
      </c>
      <c r="E3" s="11">
        <f ca="1">flow_7[[#This Row],[Opening balance]]+flow_7[[#This Row],[Operations]]</f>
        <v>1386</v>
      </c>
      <c r="G3" t="s">
        <v>27</v>
      </c>
      <c r="H3" s="11">
        <f ca="1">SUMIFS(Operations[Amount],Operations[Month],$B$11,Operations[Category],incomes_7[[#This Row],[Category]])</f>
        <v>120</v>
      </c>
      <c r="J3" t="s">
        <v>22</v>
      </c>
      <c r="K3" s="11">
        <f ca="1">SUMIFS(Operations[Amount],Operations[Month],$B$11,Operations[Category],expenses_7[[#This Row],[Category]])</f>
        <v>250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8872.44</v>
      </c>
      <c r="D4" s="11">
        <f ca="1">SUMIFS(Operations[Amount],Operations[Bank],flow_7[[#This Row],[Bank]],Operations[Product],flow_7[[#This Row],[Product]],Operations[Month],$B$11)</f>
        <v>1010</v>
      </c>
      <c r="E4" s="11">
        <f ca="1">flow_7[[#This Row],[Opening balance]]+flow_7[[#This Row],[Operations]]</f>
        <v>9882.44</v>
      </c>
      <c r="G4" t="s">
        <v>30</v>
      </c>
      <c r="H4" s="11">
        <f ca="1">SUMIFS(Operations[Amount],Operations[Month],$B$11,Operations[Category],incomes_7[[#This Row],[Category]])</f>
        <v>800</v>
      </c>
      <c r="J4" t="s">
        <v>20</v>
      </c>
      <c r="K4" s="11">
        <f ca="1">SUMIFS(Operations[Amount],Operations[Month],$B$11,Operations[Category],expenses_7[[#This Row],[Category]])</f>
        <v>-700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-1300</v>
      </c>
      <c r="D5" s="11">
        <f ca="1">SUMIFS(Operations[Amount],Operations[Bank],flow_7[[#This Row],[Bank]],Operations[Product],flow_7[[#This Row],[Product]],Operations[Month],$B$11)</f>
        <v>1165</v>
      </c>
      <c r="E5" s="11">
        <f ca="1">flow_7[[#This Row],[Opening balance]]+flow_7[[#This Row],[Operations]]</f>
        <v>-135</v>
      </c>
      <c r="G5" t="s">
        <v>15</v>
      </c>
      <c r="H5" s="11">
        <f ca="1">SUMIFS(Operations[Amount],Operations[Month],$B$11,Operations[Category],incomes_7[[#This Row],[Category]])</f>
        <v>0</v>
      </c>
      <c r="J5" t="s">
        <v>9</v>
      </c>
      <c r="K5" s="11">
        <f ca="1">SUMIFS(Operations[Amount],Operations[Month],$B$11,Operations[Category],expenses_7[[#This Row],[Category]])</f>
        <v>-165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1200</v>
      </c>
      <c r="D6" s="11">
        <f ca="1">SUMIFS(Operations[Amount],Operations[Bank],flow_7[[#This Row],[Bank]],Operations[Product],flow_7[[#This Row],[Product]],Operations[Month],$B$11)</f>
        <v>-180</v>
      </c>
      <c r="E6" s="11">
        <f ca="1">flow_7[[#This Row],[Opening balance]]+flow_7[[#This Row],[Operations]]</f>
        <v>1020</v>
      </c>
      <c r="G6" t="s">
        <v>10</v>
      </c>
      <c r="H6" s="11">
        <f ca="1">SUMIFS(Operations[Amount],Operations[Month],$B$11,Operations[Category],incomes_7[[#This Row],[Category]])</f>
        <v>4500</v>
      </c>
      <c r="J6" t="s">
        <v>28</v>
      </c>
      <c r="K6" s="11">
        <f ca="1">SUMIFS(Operations[Amount],Operations[Month],$B$11,Operations[Category],expenses_7[[#This Row],[Category]])</f>
        <v>-300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225.51</v>
      </c>
      <c r="D7" s="11">
        <f ca="1">SUMIFS(Operations[Amount],Operations[Bank],flow_7[[#This Row],[Bank]],Operations[Product],flow_7[[#This Row],[Product]],Operations[Month],$B$11)</f>
        <v>-30</v>
      </c>
      <c r="E7" s="11">
        <f ca="1">flow_7[[#This Row],[Opening balance]]+flow_7[[#This Row],[Operations]]</f>
        <v>195.51</v>
      </c>
      <c r="G7" t="s">
        <v>31</v>
      </c>
      <c r="H7" s="11">
        <f ca="1">SUMIFS(Operations[Amount],Operations[Month],$B$11,Operations[Category],incomes_7[[#This Row],[Category]])</f>
        <v>500</v>
      </c>
      <c r="J7" t="s">
        <v>14</v>
      </c>
      <c r="K7" s="11">
        <f ca="1">SUMIFS(Operations[Amount],Operations[Month],$B$11,Operations[Category],expenses_7[[#This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SUMIFS(Operations[Amount],Operations[Bank],flow_7[[#This Row],[Bank]],Operations[Product],flow_7[[#This Row],[Product]],Operations[Month],$B$11)</f>
        <v>0</v>
      </c>
      <c r="E8" s="11">
        <f ca="1">flow_7[[#This Row],[Opening balance]]+flow_7[[#This Row],[Operations]]</f>
        <v>390.5</v>
      </c>
      <c r="G8" t="s">
        <v>37</v>
      </c>
      <c r="H8" s="12">
        <f ca="1">SUBTOTAL(109,incomes_7[Total])</f>
        <v>5920</v>
      </c>
      <c r="J8" t="s">
        <v>17</v>
      </c>
      <c r="K8" s="11">
        <f ca="1">SUMIFS(Operations[Amount],Operations[Month],$B$11,Operations[Category],expenses_7[[#This Row],[Category]])</f>
        <v>0</v>
      </c>
    </row>
    <row r="9" spans="1:11" x14ac:dyDescent="0.25">
      <c r="A9" t="s">
        <v>37</v>
      </c>
      <c r="C9" s="11">
        <f ca="1">SUBTOTAL(109,flow_7[Opening balance])</f>
        <v>10192.950000000001</v>
      </c>
      <c r="D9" s="11">
        <f ca="1">SUBTOTAL(109,flow_7[Operations])</f>
        <v>2915</v>
      </c>
      <c r="E9" s="11">
        <f ca="1">SUBTOTAL(109,flow_7[Closing balance])</f>
        <v>13107.95</v>
      </c>
      <c r="J9" t="s">
        <v>23</v>
      </c>
      <c r="K9" s="11">
        <f ca="1">SUMIFS(Operations[Amount],Operations[Month],$B$11,Operations[Category],expenses_7[[#This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SUMIFS(Operations[Amount],Operations[Month],$B$11,Operations[Category],expenses_7[[#This Row],[Category]])</f>
        <v>-90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7</v>
      </c>
      <c r="J11" t="s">
        <v>37</v>
      </c>
      <c r="K11" s="11">
        <f ca="1">SUBTOTAL(109,expenses_7[Total])</f>
        <v>-3005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SUMIFS(Operations[Amount],Operations[Month],$B$11,Operations[Type],balance_7[[#This Row],[Type]])</f>
        <v>-3005</v>
      </c>
    </row>
    <row r="15" spans="1:11" x14ac:dyDescent="0.25">
      <c r="A15" t="s">
        <v>33</v>
      </c>
      <c r="B15" s="11">
        <f ca="1">SUMIFS(Operations[Amount],Operations[Month],$B$11,Operations[Type],balance_7[[#This Row],[Type]])</f>
        <v>5920</v>
      </c>
    </row>
    <row r="16" spans="1:11" x14ac:dyDescent="0.25">
      <c r="A16" t="s">
        <v>29</v>
      </c>
      <c r="B16" s="11">
        <f ca="1">SUMIFS(Operations[Amount],Operations[Month],$B$11,Operations[Type],balance_7[[#This Row],[Type]])</f>
        <v>0</v>
      </c>
    </row>
    <row r="17" spans="1:2" x14ac:dyDescent="0.25">
      <c r="A17" t="s">
        <v>37</v>
      </c>
      <c r="B17" s="11">
        <f ca="1">SUBTOTAL(109,balance_7[Total])</f>
        <v>2915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9D5A-F73E-49B8-9F96-ED8AA94A52DD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368.5</v>
      </c>
      <c r="D2" s="11">
        <f ca="1">SUMIFS(Operations[Amount],Operations[Bank],flow_8[[#This Row],[Bank]],Operations[Product],flow_8[[#This Row],[Product]],Operations[Month],$B$11)</f>
        <v>200</v>
      </c>
      <c r="E2" s="11">
        <f ca="1">flow_8[[#This Row],[Opening balance]]+flow_8[[#This Row],[Operations]]</f>
        <v>568.5</v>
      </c>
      <c r="G2" t="s">
        <v>19</v>
      </c>
      <c r="H2" s="11">
        <f ca="1">SUMIFS(Operations[Amount],Operations[Month],$B$11,Operations[Category],incomes_8[[#This Row],[Category]])</f>
        <v>0</v>
      </c>
      <c r="J2" t="s">
        <v>11</v>
      </c>
      <c r="K2" s="11">
        <f ca="1">SUMIFS(Operations[Amount],Operations[Month],$B$11,Operations[Category],expenses_8[[#This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1386</v>
      </c>
      <c r="D3" s="11">
        <f ca="1">SUMIFS(Operations[Amount],Operations[Bank],flow_8[[#This Row],[Bank]],Operations[Product],flow_8[[#This Row],[Product]],Operations[Month],$B$11)</f>
        <v>-300</v>
      </c>
      <c r="E3" s="11">
        <f ca="1">flow_8[[#This Row],[Opening balance]]+flow_8[[#This Row],[Operations]]</f>
        <v>1086</v>
      </c>
      <c r="G3" t="s">
        <v>27</v>
      </c>
      <c r="H3" s="11">
        <f ca="1">SUMIFS(Operations[Amount],Operations[Month],$B$11,Operations[Category],incomes_8[[#This Row],[Category]])</f>
        <v>0</v>
      </c>
      <c r="J3" t="s">
        <v>22</v>
      </c>
      <c r="K3" s="11">
        <f ca="1">SUMIFS(Operations[Amount],Operations[Month],$B$11,Operations[Category],expenses_8[[#This Row],[Category]])</f>
        <v>-300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9882.44</v>
      </c>
      <c r="D4" s="11">
        <f ca="1">SUMIFS(Operations[Amount],Operations[Bank],flow_8[[#This Row],[Bank]],Operations[Product],flow_8[[#This Row],[Product]],Operations[Month],$B$11)</f>
        <v>1475</v>
      </c>
      <c r="E4" s="11">
        <f ca="1">flow_8[[#This Row],[Opening balance]]+flow_8[[#This Row],[Operations]]</f>
        <v>11357.44</v>
      </c>
      <c r="G4" t="s">
        <v>30</v>
      </c>
      <c r="H4" s="11">
        <f ca="1">SUMIFS(Operations[Amount],Operations[Month],$B$11,Operations[Category],incomes_8[[#This Row],[Category]])</f>
        <v>400</v>
      </c>
      <c r="J4" t="s">
        <v>20</v>
      </c>
      <c r="K4" s="11">
        <f ca="1">SUMIFS(Operations[Amount],Operations[Month],$B$11,Operations[Category],expenses_8[[#This Row],[Category]])</f>
        <v>-250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-135</v>
      </c>
      <c r="D5" s="11">
        <f ca="1">SUMIFS(Operations[Amount],Operations[Bank],flow_8[[#This Row],[Bank]],Operations[Product],flow_8[[#This Row],[Product]],Operations[Month],$B$11)</f>
        <v>33</v>
      </c>
      <c r="E5" s="11">
        <f ca="1">flow_8[[#This Row],[Opening balance]]+flow_8[[#This Row],[Operations]]</f>
        <v>-102</v>
      </c>
      <c r="G5" t="s">
        <v>15</v>
      </c>
      <c r="H5" s="11">
        <f ca="1">SUMIFS(Operations[Amount],Operations[Month],$B$11,Operations[Category],incomes_8[[#This Row],[Category]])</f>
        <v>0</v>
      </c>
      <c r="J5" t="s">
        <v>9</v>
      </c>
      <c r="K5" s="11">
        <f ca="1">SUMIFS(Operations[Amount],Operations[Month],$B$11,Operations[Category],expenses_8[[#This Row],[Category]])</f>
        <v>-749.5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1020</v>
      </c>
      <c r="D6" s="11">
        <f ca="1">SUMIFS(Operations[Amount],Operations[Bank],flow_8[[#This Row],[Bank]],Operations[Product],flow_8[[#This Row],[Product]],Operations[Month],$B$11)</f>
        <v>-1020</v>
      </c>
      <c r="E6" s="11">
        <f ca="1">flow_8[[#This Row],[Opening balance]]+flow_8[[#This Row],[Operations]]</f>
        <v>0</v>
      </c>
      <c r="G6" t="s">
        <v>10</v>
      </c>
      <c r="H6" s="11">
        <f ca="1">SUMIFS(Operations[Amount],Operations[Month],$B$11,Operations[Category],incomes_8[[#This Row],[Category]])</f>
        <v>4500</v>
      </c>
      <c r="J6" t="s">
        <v>28</v>
      </c>
      <c r="K6" s="11">
        <f ca="1">SUMIFS(Operations[Amount],Operations[Month],$B$11,Operations[Category],expenses_8[[#This Row],[Category]])</f>
        <v>-400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SUMIFS(Operations[Amount],Operations[Bank],flow_8[[#This Row],[Bank]],Operations[Product],flow_8[[#This Row],[Product]],Operations[Month],$B$11)</f>
        <v>0</v>
      </c>
      <c r="E7" s="11">
        <f ca="1">flow_8[[#This Row],[Opening balance]]+flow_8[[#This Row],[Operations]]</f>
        <v>195.51</v>
      </c>
      <c r="G7" t="s">
        <v>31</v>
      </c>
      <c r="H7" s="11">
        <f ca="1">SUMIFS(Operations[Amount],Operations[Month],$B$11,Operations[Category],incomes_8[[#This Row],[Category]])</f>
        <v>500</v>
      </c>
      <c r="J7" t="s">
        <v>14</v>
      </c>
      <c r="K7" s="11">
        <f ca="1">SUMIFS(Operations[Amount],Operations[Month],$B$11,Operations[Category],expenses_8[[#This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390.5</v>
      </c>
      <c r="D8" s="11">
        <f ca="1">SUMIFS(Operations[Amount],Operations[Bank],flow_8[[#This Row],[Bank]],Operations[Product],flow_8[[#This Row],[Product]],Operations[Month],$B$11)</f>
        <v>2.5</v>
      </c>
      <c r="E8" s="11">
        <f ca="1">flow_8[[#This Row],[Opening balance]]+flow_8[[#This Row],[Operations]]</f>
        <v>393</v>
      </c>
      <c r="G8" t="s">
        <v>37</v>
      </c>
      <c r="H8" s="12">
        <f ca="1">SUBTOTAL(109,incomes_8[Total])</f>
        <v>5400</v>
      </c>
      <c r="J8" t="s">
        <v>17</v>
      </c>
      <c r="K8" s="11">
        <f ca="1">SUMIFS(Operations[Amount],Operations[Month],$B$11,Operations[Category],expenses_8[[#This Row],[Category]])</f>
        <v>0</v>
      </c>
    </row>
    <row r="9" spans="1:11" x14ac:dyDescent="0.25">
      <c r="A9" t="s">
        <v>37</v>
      </c>
      <c r="C9" s="11">
        <f ca="1">SUBTOTAL(109,flow_8[Opening balance])</f>
        <v>13107.95</v>
      </c>
      <c r="D9" s="11">
        <f ca="1">SUBTOTAL(109,flow_8[Operations])</f>
        <v>390.5</v>
      </c>
      <c r="E9" s="11">
        <f ca="1">SUBTOTAL(109,flow_8[Closing balance])</f>
        <v>13498.45</v>
      </c>
      <c r="J9" t="s">
        <v>23</v>
      </c>
      <c r="K9" s="11">
        <f ca="1">SUMIFS(Operations[Amount],Operations[Month],$B$11,Operations[Category],expenses_8[[#This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SUMIFS(Operations[Amount],Operations[Month],$B$11,Operations[Category],expenses_8[[#This Row],[Category]])</f>
        <v>-290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8</v>
      </c>
      <c r="J11" t="s">
        <v>37</v>
      </c>
      <c r="K11" s="11">
        <f ca="1">SUBTOTAL(109,expenses_8[Total])</f>
        <v>-3989.5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SUMIFS(Operations[Amount],Operations[Month],$B$11,Operations[Type],balance_8[[#This Row],[Type]])</f>
        <v>-3989.5</v>
      </c>
    </row>
    <row r="15" spans="1:11" x14ac:dyDescent="0.25">
      <c r="A15" t="s">
        <v>33</v>
      </c>
      <c r="B15" s="11">
        <f ca="1">SUMIFS(Operations[Amount],Operations[Month],$B$11,Operations[Type],balance_8[[#This Row],[Type]])</f>
        <v>5400</v>
      </c>
    </row>
    <row r="16" spans="1:11" x14ac:dyDescent="0.25">
      <c r="A16" t="s">
        <v>29</v>
      </c>
      <c r="B16" s="11">
        <f ca="1">SUMIFS(Operations[Amount],Operations[Month],$B$11,Operations[Type],balance_8[[#This Row],[Type]])</f>
        <v>-1020</v>
      </c>
    </row>
    <row r="17" spans="1:2" x14ac:dyDescent="0.25">
      <c r="A17" t="s">
        <v>37</v>
      </c>
      <c r="B17" s="11">
        <f ca="1">SUBTOTAL(109,balance_8[Total])</f>
        <v>390.5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15F4-27F4-402B-AFD1-CCD886D09B73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568.5</v>
      </c>
      <c r="D2" s="11">
        <f ca="1">SUMIFS(Operations[Amount],Operations[Bank],flow_9[[#This Row],[Bank]],Operations[Product],flow_9[[#This Row],[Product]],Operations[Month],$B$11)</f>
        <v>-20</v>
      </c>
      <c r="E2" s="11">
        <f ca="1">flow_9[[#This Row],[Opening balance]]+flow_9[[#This Row],[Operations]]</f>
        <v>548.5</v>
      </c>
      <c r="G2" t="s">
        <v>19</v>
      </c>
      <c r="H2" s="11">
        <f ca="1">SUMIFS(Operations[Amount],Operations[Month],$B$11,Operations[Category],incomes_9[[#This Row],[Category]])</f>
        <v>0</v>
      </c>
      <c r="J2" t="s">
        <v>11</v>
      </c>
      <c r="K2" s="11">
        <f ca="1">SUMIFS(Operations[Amount],Operations[Month],$B$11,Operations[Category],expenses_9[[#This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SUMIFS(Operations[Amount],Operations[Bank],flow_9[[#This Row],[Bank]],Operations[Product],flow_9[[#This Row],[Product]],Operations[Month],$B$11)</f>
        <v>0</v>
      </c>
      <c r="E3" s="11">
        <f ca="1">flow_9[[#This Row],[Opening balance]]+flow_9[[#This Row],[Operations]]</f>
        <v>1086</v>
      </c>
      <c r="G3" t="s">
        <v>27</v>
      </c>
      <c r="H3" s="11">
        <f ca="1">SUMIFS(Operations[Amount],Operations[Month],$B$11,Operations[Category],incomes_9[[#This Row],[Category]])</f>
        <v>0</v>
      </c>
      <c r="J3" t="s">
        <v>22</v>
      </c>
      <c r="K3" s="11">
        <f ca="1">SUMIFS(Operations[Amount],Operations[Month],$B$11,Operations[Category],expenses_9[[#This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11357.44</v>
      </c>
      <c r="D4" s="11">
        <f ca="1">SUMIFS(Operations[Amount],Operations[Bank],flow_9[[#This Row],[Bank]],Operations[Product],flow_9[[#This Row],[Product]],Operations[Month],$B$11)</f>
        <v>1689.5</v>
      </c>
      <c r="E4" s="11">
        <f ca="1">flow_9[[#This Row],[Opening balance]]+flow_9[[#This Row],[Operations]]</f>
        <v>13046.94</v>
      </c>
      <c r="G4" t="s">
        <v>30</v>
      </c>
      <c r="H4" s="11">
        <f ca="1">SUMIFS(Operations[Amount],Operations[Month],$B$11,Operations[Category],incomes_9[[#This Row],[Category]])</f>
        <v>0</v>
      </c>
      <c r="J4" t="s">
        <v>20</v>
      </c>
      <c r="K4" s="11">
        <f ca="1">SUMIFS(Operations[Amount],Operations[Month],$B$11,Operations[Category],expenses_9[[#This Row],[Category]])</f>
        <v>-20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-102</v>
      </c>
      <c r="D5" s="11">
        <f ca="1">SUMIFS(Operations[Amount],Operations[Bank],flow_9[[#This Row],[Bank]],Operations[Product],flow_9[[#This Row],[Product]],Operations[Month],$B$11)</f>
        <v>82</v>
      </c>
      <c r="E5" s="11">
        <f ca="1">flow_9[[#This Row],[Opening balance]]+flow_9[[#This Row],[Operations]]</f>
        <v>-20</v>
      </c>
      <c r="G5" t="s">
        <v>15</v>
      </c>
      <c r="H5" s="11">
        <f ca="1">SUMIFS(Operations[Amount],Operations[Month],$B$11,Operations[Category],incomes_9[[#This Row],[Category]])</f>
        <v>0</v>
      </c>
      <c r="J5" t="s">
        <v>9</v>
      </c>
      <c r="K5" s="11">
        <f ca="1">SUMIFS(Operations[Amount],Operations[Month],$B$11,Operations[Category],expenses_9[[#This Row],[Category]])</f>
        <v>-538.5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SUMIFS(Operations[Amount],Operations[Bank],flow_9[[#This Row],[Bank]],Operations[Product],flow_9[[#This Row],[Product]],Operations[Month],$B$11)</f>
        <v>0</v>
      </c>
      <c r="E6" s="11">
        <f ca="1">flow_9[[#This Row],[Opening balance]]+flow_9[[#This Row],[Operations]]</f>
        <v>0</v>
      </c>
      <c r="G6" t="s">
        <v>10</v>
      </c>
      <c r="H6" s="11">
        <f ca="1">SUMIFS(Operations[Amount],Operations[Month],$B$11,Operations[Category],incomes_9[[#This Row],[Category]])</f>
        <v>4500</v>
      </c>
      <c r="J6" t="s">
        <v>28</v>
      </c>
      <c r="K6" s="11">
        <f ca="1">SUMIFS(Operations[Amount],Operations[Month],$B$11,Operations[Category],expenses_9[[#This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SUMIFS(Operations[Amount],Operations[Bank],flow_9[[#This Row],[Bank]],Operations[Product],flow_9[[#This Row],[Product]],Operations[Month],$B$11)</f>
        <v>0</v>
      </c>
      <c r="E7" s="11">
        <f ca="1">flow_9[[#This Row],[Opening balance]]+flow_9[[#This Row],[Operations]]</f>
        <v>195.51</v>
      </c>
      <c r="G7" t="s">
        <v>31</v>
      </c>
      <c r="H7" s="11">
        <f ca="1">SUMIFS(Operations[Amount],Operations[Month],$B$11,Operations[Category],incomes_9[[#This Row],[Category]])</f>
        <v>0</v>
      </c>
      <c r="J7" t="s">
        <v>14</v>
      </c>
      <c r="K7" s="11">
        <f ca="1">SUMIFS(Operations[Amount],Operations[Month],$B$11,Operations[Category],expenses_9[[#This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SUMIFS(Operations[Amount],Operations[Bank],flow_9[[#This Row],[Bank]],Operations[Product],flow_9[[#This Row],[Product]],Operations[Month],$B$11)</f>
        <v>0</v>
      </c>
      <c r="E8" s="11">
        <f ca="1">flow_9[[#This Row],[Opening balance]]+flow_9[[#This Row],[Operations]]</f>
        <v>393</v>
      </c>
      <c r="G8" t="s">
        <v>37</v>
      </c>
      <c r="H8" s="12">
        <f ca="1">SUBTOTAL(109,incomes_9[Total])</f>
        <v>4500</v>
      </c>
      <c r="J8" t="s">
        <v>17</v>
      </c>
      <c r="K8" s="11">
        <f ca="1">SUMIFS(Operations[Amount],Operations[Month],$B$11,Operations[Category],expenses_9[[#This Row],[Category]])</f>
        <v>0</v>
      </c>
    </row>
    <row r="9" spans="1:11" x14ac:dyDescent="0.25">
      <c r="A9" t="s">
        <v>37</v>
      </c>
      <c r="C9" s="11">
        <f ca="1">SUBTOTAL(109,flow_9[Opening balance])</f>
        <v>13498.45</v>
      </c>
      <c r="D9" s="11">
        <f ca="1">SUBTOTAL(109,flow_9[Operations])</f>
        <v>1751.5</v>
      </c>
      <c r="E9" s="11">
        <f ca="1">SUBTOTAL(109,flow_9[Closing balance])</f>
        <v>15249.95</v>
      </c>
      <c r="J9" t="s">
        <v>23</v>
      </c>
      <c r="K9" s="11">
        <f ca="1">SUMIFS(Operations[Amount],Operations[Month],$B$11,Operations[Category],expenses_9[[#This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SUMIFS(Operations[Amount],Operations[Month],$B$11,Operations[Category],expenses_9[[#This Row],[Category]])</f>
        <v>-150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9</v>
      </c>
      <c r="J11" t="s">
        <v>37</v>
      </c>
      <c r="K11" s="11">
        <f ca="1">SUBTOTAL(109,expenses_9[Total])</f>
        <v>-2748.5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SUMIFS(Operations[Amount],Operations[Month],$B$11,Operations[Type],balance_9[[#This Row],[Type]])</f>
        <v>-2748.5</v>
      </c>
    </row>
    <row r="15" spans="1:11" x14ac:dyDescent="0.25">
      <c r="A15" t="s">
        <v>33</v>
      </c>
      <c r="B15" s="11">
        <f ca="1">SUMIFS(Operations[Amount],Operations[Month],$B$11,Operations[Type],balance_9[[#This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SUMIFS(Operations[Amount],Operations[Month],$B$11,Operations[Type],balance_9[[#This Row],[Type]])</f>
        <v>0</v>
      </c>
    </row>
    <row r="17" spans="1:2" x14ac:dyDescent="0.25">
      <c r="A17" t="s">
        <v>37</v>
      </c>
      <c r="B17" s="11">
        <f ca="1">SUBTOTAL(109,balance_9[Total])</f>
        <v>1751.5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6CE8-063F-45DD-84BC-8B06A749804E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SUMIFS(Operations[Amount],Operations[Bank],flow_10[[#This Row],[Bank]],Operations[Product],flow_10[[#This Row],[Product]],Operations[Month],$B$11)</f>
        <v>0</v>
      </c>
      <c r="E2" s="11">
        <f ca="1">flow_10[[#This Row],[Opening balance]]+flow_10[[#This Row],[Operations]]</f>
        <v>548.5</v>
      </c>
      <c r="G2" t="s">
        <v>19</v>
      </c>
      <c r="H2" s="11">
        <f ca="1">SUMIFS(Operations[Amount],Operations[Month],$B$11,Operations[Category],incomes_10[[#This Row],[Category]])</f>
        <v>0</v>
      </c>
      <c r="J2" t="s">
        <v>11</v>
      </c>
      <c r="K2" s="11">
        <f ca="1">SUMIFS(Operations[Amount],Operations[Month],$B$11,Operations[Category],expenses_10[[#This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SUMIFS(Operations[Amount],Operations[Bank],flow_10[[#This Row],[Bank]],Operations[Product],flow_10[[#This Row],[Product]],Operations[Month],$B$11)</f>
        <v>0</v>
      </c>
      <c r="E3" s="11">
        <f ca="1">flow_10[[#This Row],[Opening balance]]+flow_10[[#This Row],[Operations]]</f>
        <v>1086</v>
      </c>
      <c r="G3" t="s">
        <v>27</v>
      </c>
      <c r="H3" s="11">
        <f ca="1">SUMIFS(Operations[Amount],Operations[Month],$B$11,Operations[Category],incomes_10[[#This Row],[Category]])</f>
        <v>0</v>
      </c>
      <c r="J3" t="s">
        <v>22</v>
      </c>
      <c r="K3" s="11">
        <f ca="1">SUMIFS(Operations[Amount],Operations[Month],$B$11,Operations[Category],expenses_10[[#This Row],[Category]])</f>
        <v>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13046.94</v>
      </c>
      <c r="D4" s="11">
        <f ca="1">SUMIFS(Operations[Amount],Operations[Bank],flow_10[[#This Row],[Bank]],Operations[Product],flow_10[[#This Row],[Product]],Operations[Month],$B$11)</f>
        <v>1690</v>
      </c>
      <c r="E4" s="11">
        <f ca="1">flow_10[[#This Row],[Opening balance]]+flow_10[[#This Row],[Operations]]</f>
        <v>14736.94</v>
      </c>
      <c r="G4" t="s">
        <v>30</v>
      </c>
      <c r="H4" s="11">
        <f ca="1">SUMIFS(Operations[Amount],Operations[Month],$B$11,Operations[Category],incomes_10[[#This Row],[Category]])</f>
        <v>0</v>
      </c>
      <c r="J4" t="s">
        <v>20</v>
      </c>
      <c r="K4" s="11">
        <f ca="1">SUMIFS(Operations[Amount],Operations[Month],$B$11,Operations[Category],expenses_10[[#This Row],[Category]])</f>
        <v>-40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-20</v>
      </c>
      <c r="D5" s="11">
        <f ca="1">SUMIFS(Operations[Amount],Operations[Bank],flow_10[[#This Row],[Bank]],Operations[Product],flow_10[[#This Row],[Product]],Operations[Month],$B$11)</f>
        <v>-20</v>
      </c>
      <c r="E5" s="11">
        <f ca="1">flow_10[[#This Row],[Opening balance]]+flow_10[[#This Row],[Operations]]</f>
        <v>-40</v>
      </c>
      <c r="G5" t="s">
        <v>15</v>
      </c>
      <c r="H5" s="11">
        <f ca="1">SUMIFS(Operations[Amount],Operations[Month],$B$11,Operations[Category],incomes_10[[#This Row],[Category]])</f>
        <v>0</v>
      </c>
      <c r="J5" t="s">
        <v>9</v>
      </c>
      <c r="K5" s="11">
        <f ca="1">SUMIFS(Operations[Amount],Operations[Month],$B$11,Operations[Category],expenses_10[[#This Row],[Category]])</f>
        <v>-600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SUMIFS(Operations[Amount],Operations[Bank],flow_10[[#This Row],[Bank]],Operations[Product],flow_10[[#This Row],[Product]],Operations[Month],$B$11)</f>
        <v>0</v>
      </c>
      <c r="E6" s="11">
        <f ca="1">flow_10[[#This Row],[Opening balance]]+flow_10[[#This Row],[Operations]]</f>
        <v>0</v>
      </c>
      <c r="G6" t="s">
        <v>10</v>
      </c>
      <c r="H6" s="11">
        <f ca="1">SUMIFS(Operations[Amount],Operations[Month],$B$11,Operations[Category],incomes_10[[#This Row],[Category]])</f>
        <v>4500</v>
      </c>
      <c r="J6" t="s">
        <v>28</v>
      </c>
      <c r="K6" s="11">
        <f ca="1">SUMIFS(Operations[Amount],Operations[Month],$B$11,Operations[Category],expenses_10[[#This Row],[Category]])</f>
        <v>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SUMIFS(Operations[Amount],Operations[Bank],flow_10[[#This Row],[Bank]],Operations[Product],flow_10[[#This Row],[Product]],Operations[Month],$B$11)</f>
        <v>0</v>
      </c>
      <c r="E7" s="11">
        <f ca="1">flow_10[[#This Row],[Opening balance]]+flow_10[[#This Row],[Operations]]</f>
        <v>195.51</v>
      </c>
      <c r="G7" t="s">
        <v>31</v>
      </c>
      <c r="H7" s="11">
        <f ca="1">SUMIFS(Operations[Amount],Operations[Month],$B$11,Operations[Category],incomes_10[[#This Row],[Category]])</f>
        <v>0</v>
      </c>
      <c r="J7" t="s">
        <v>14</v>
      </c>
      <c r="K7" s="11">
        <f ca="1">SUMIFS(Operations[Amount],Operations[Month],$B$11,Operations[Category],expenses_10[[#This Row],[Category]])</f>
        <v>-40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SUMIFS(Operations[Amount],Operations[Bank],flow_10[[#This Row],[Bank]],Operations[Product],flow_10[[#This Row],[Product]],Operations[Month],$B$11)</f>
        <v>0</v>
      </c>
      <c r="E8" s="11">
        <f ca="1">flow_10[[#This Row],[Opening balance]]+flow_10[[#This Row],[Operations]]</f>
        <v>393</v>
      </c>
      <c r="G8" t="s">
        <v>37</v>
      </c>
      <c r="H8" s="12">
        <f ca="1">SUBTOTAL(109,incomes_10[Total])</f>
        <v>4500</v>
      </c>
      <c r="J8" t="s">
        <v>17</v>
      </c>
      <c r="K8" s="11">
        <f ca="1">SUMIFS(Operations[Amount],Operations[Month],$B$11,Operations[Category],expenses_10[[#This Row],[Category]])</f>
        <v>0</v>
      </c>
    </row>
    <row r="9" spans="1:11" x14ac:dyDescent="0.25">
      <c r="A9" t="s">
        <v>37</v>
      </c>
      <c r="C9" s="11">
        <f ca="1">SUBTOTAL(109,flow_10[Opening balance])</f>
        <v>15249.95</v>
      </c>
      <c r="D9" s="11">
        <f ca="1">SUBTOTAL(109,flow_10[Operations])</f>
        <v>1670</v>
      </c>
      <c r="E9" s="11">
        <f ca="1">SUBTOTAL(109,flow_10[Closing balance])</f>
        <v>16919.95</v>
      </c>
      <c r="J9" t="s">
        <v>23</v>
      </c>
      <c r="K9" s="11">
        <f ca="1">SUMIFS(Operations[Amount],Operations[Month],$B$11,Operations[Category],expenses_10[[#This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SUMIFS(Operations[Amount],Operations[Month],$B$11,Operations[Category],expenses_10[[#This Row],[Category]])</f>
        <v>-150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10</v>
      </c>
      <c r="J11" t="s">
        <v>37</v>
      </c>
      <c r="K11" s="11">
        <f ca="1">SUBTOTAL(109,expenses_10[Total])</f>
        <v>-2830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SUMIFS(Operations[Amount],Operations[Month],$B$11,Operations[Type],balance_10[[#This Row],[Type]])</f>
        <v>-2830</v>
      </c>
    </row>
    <row r="15" spans="1:11" x14ac:dyDescent="0.25">
      <c r="A15" t="s">
        <v>33</v>
      </c>
      <c r="B15" s="11">
        <f ca="1">SUMIFS(Operations[Amount],Operations[Month],$B$11,Operations[Type],balance_10[[#This Row],[Type]])</f>
        <v>4500</v>
      </c>
    </row>
    <row r="16" spans="1:11" x14ac:dyDescent="0.25">
      <c r="A16" t="s">
        <v>29</v>
      </c>
      <c r="B16" s="11">
        <f ca="1">SUMIFS(Operations[Amount],Operations[Month],$B$11,Operations[Type],balance_10[[#This Row],[Type]])</f>
        <v>0</v>
      </c>
    </row>
    <row r="17" spans="1:2" x14ac:dyDescent="0.25">
      <c r="A17" t="s">
        <v>37</v>
      </c>
      <c r="B17" s="11">
        <f ca="1">SUBTOTAL(109,balance_10[Total])</f>
        <v>1670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2E52-0AFE-4290-B1F7-70D68689C6ED}">
  <dimension ref="A1:K17"/>
  <sheetViews>
    <sheetView zoomScale="175" zoomScaleNormal="175" workbookViewId="0">
      <selection activeCell="C3" sqref="C3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SUMIFS(Operations[Amount],Operations[Bank],flow_11[[#This Row],[Bank]],Operations[Product],flow_11[[#This Row],[Product]],Operations[Month],$B$11)</f>
        <v>0</v>
      </c>
      <c r="E2" s="11">
        <f ca="1">flow_11[[#This Row],[Opening balance]]+flow_11[[#This Row],[Operations]]</f>
        <v>548.5</v>
      </c>
      <c r="G2" t="s">
        <v>19</v>
      </c>
      <c r="H2" s="11">
        <f ca="1">SUMIFS(Operations[Amount],Operations[Month],$B$11,Operations[Category],incomes_11[[#This Row],[Category]])</f>
        <v>0</v>
      </c>
      <c r="J2" t="s">
        <v>11</v>
      </c>
      <c r="K2" s="11">
        <f ca="1">SUMIFS(Operations[Amount],Operations[Month],$B$11,Operations[Category],expenses_11[[#This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SUMIFS(Operations[Amount],Operations[Bank],flow_11[[#This Row],[Bank]],Operations[Product],flow_11[[#This Row],[Product]],Operations[Month],$B$11)</f>
        <v>0</v>
      </c>
      <c r="E3" s="11">
        <f ca="1">flow_11[[#This Row],[Opening balance]]+flow_11[[#This Row],[Operations]]</f>
        <v>1086</v>
      </c>
      <c r="G3" t="s">
        <v>27</v>
      </c>
      <c r="H3" s="11">
        <f ca="1">SUMIFS(Operations[Amount],Operations[Month],$B$11,Operations[Category],incomes_11[[#This Row],[Category]])</f>
        <v>0</v>
      </c>
      <c r="J3" t="s">
        <v>22</v>
      </c>
      <c r="K3" s="11">
        <f ca="1">SUMIFS(Operations[Amount],Operations[Month],$B$11,Operations[Category],expenses_11[[#This Row],[Category]])</f>
        <v>-158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14736.94</v>
      </c>
      <c r="D4" s="11">
        <f ca="1">SUMIFS(Operations[Amount],Operations[Bank],flow_11[[#This Row],[Bank]],Operations[Product],flow_11[[#This Row],[Product]],Operations[Month],$B$11)</f>
        <v>960</v>
      </c>
      <c r="E4" s="11">
        <f ca="1">flow_11[[#This Row],[Opening balance]]+flow_11[[#This Row],[Operations]]</f>
        <v>15696.94</v>
      </c>
      <c r="G4" t="s">
        <v>30</v>
      </c>
      <c r="H4" s="11">
        <f ca="1">SUMIFS(Operations[Amount],Operations[Month],$B$11,Operations[Category],incomes_11[[#This Row],[Category]])</f>
        <v>400</v>
      </c>
      <c r="J4" t="s">
        <v>20</v>
      </c>
      <c r="K4" s="11">
        <f ca="1">SUMIFS(Operations[Amount],Operations[Month],$B$11,Operations[Category],expenses_11[[#This Row],[Category]])</f>
        <v>-214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-40</v>
      </c>
      <c r="D5" s="11">
        <f ca="1">SUMIFS(Operations[Amount],Operations[Bank],flow_11[[#This Row],[Bank]],Operations[Product],flow_11[[#This Row],[Product]],Operations[Month],$B$11)</f>
        <v>40</v>
      </c>
      <c r="E5" s="11">
        <f ca="1">flow_11[[#This Row],[Opening balance]]+flow_11[[#This Row],[Operations]]</f>
        <v>0</v>
      </c>
      <c r="G5" t="s">
        <v>15</v>
      </c>
      <c r="H5" s="11">
        <f ca="1">SUMIFS(Operations[Amount],Operations[Month],$B$11,Operations[Category],incomes_11[[#This Row],[Category]])</f>
        <v>0</v>
      </c>
      <c r="J5" t="s">
        <v>9</v>
      </c>
      <c r="K5" s="11">
        <f ca="1">SUMIFS(Operations[Amount],Operations[Month],$B$11,Operations[Category],expenses_11[[#This Row],[Category]])</f>
        <v>-506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SUMIFS(Operations[Amount],Operations[Bank],flow_11[[#This Row],[Bank]],Operations[Product],flow_11[[#This Row],[Product]],Operations[Month],$B$11)</f>
        <v>0</v>
      </c>
      <c r="E6" s="11">
        <f ca="1">flow_11[[#This Row],[Opening balance]]+flow_11[[#This Row],[Operations]]</f>
        <v>0</v>
      </c>
      <c r="G6" t="s">
        <v>10</v>
      </c>
      <c r="H6" s="11">
        <f ca="1">SUMIFS(Operations[Amount],Operations[Month],$B$11,Operations[Category],incomes_11[[#This Row],[Category]])</f>
        <v>4500</v>
      </c>
      <c r="J6" t="s">
        <v>28</v>
      </c>
      <c r="K6" s="11">
        <f ca="1">SUMIFS(Operations[Amount],Operations[Month],$B$11,Operations[Category],expenses_11[[#This Row],[Category]])</f>
        <v>-133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SUMIFS(Operations[Amount],Operations[Bank],flow_11[[#This Row],[Bank]],Operations[Product],flow_11[[#This Row],[Product]],Operations[Month],$B$11)</f>
        <v>0</v>
      </c>
      <c r="E7" s="11">
        <f ca="1">flow_11[[#This Row],[Opening balance]]+flow_11[[#This Row],[Operations]]</f>
        <v>195.51</v>
      </c>
      <c r="G7" t="s">
        <v>31</v>
      </c>
      <c r="H7" s="11">
        <f ca="1">SUMIFS(Operations[Amount],Operations[Month],$B$11,Operations[Category],incomes_11[[#This Row],[Category]])</f>
        <v>0</v>
      </c>
      <c r="J7" t="s">
        <v>14</v>
      </c>
      <c r="K7" s="11">
        <f ca="1">SUMIFS(Operations[Amount],Operations[Month],$B$11,Operations[Category],expenses_11[[#This Row],[Category]])</f>
        <v>-47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393</v>
      </c>
      <c r="D8" s="11">
        <f ca="1">SUMIFS(Operations[Amount],Operations[Bank],flow_11[[#This Row],[Bank]],Operations[Product],flow_11[[#This Row],[Product]],Operations[Month],$B$11)</f>
        <v>400</v>
      </c>
      <c r="E8" s="11">
        <f ca="1">flow_11[[#This Row],[Opening balance]]+flow_11[[#This Row],[Operations]]</f>
        <v>793</v>
      </c>
      <c r="G8" t="s">
        <v>37</v>
      </c>
      <c r="H8" s="12">
        <f ca="1">SUBTOTAL(109,incomes_11[Total])</f>
        <v>4900</v>
      </c>
      <c r="J8" t="s">
        <v>17</v>
      </c>
      <c r="K8" s="11">
        <f ca="1">SUMIFS(Operations[Amount],Operations[Month],$B$11,Operations[Category],expenses_11[[#This Row],[Category]])</f>
        <v>-234</v>
      </c>
    </row>
    <row r="9" spans="1:11" x14ac:dyDescent="0.25">
      <c r="A9" t="s">
        <v>37</v>
      </c>
      <c r="C9" s="11">
        <f ca="1">SUBTOTAL(109,flow_11[Opening balance])</f>
        <v>16919.95</v>
      </c>
      <c r="D9" s="11">
        <f ca="1">SUBTOTAL(109,flow_11[Operations])</f>
        <v>1400</v>
      </c>
      <c r="E9" s="11">
        <f ca="1">SUBTOTAL(109,flow_11[Closing balance])</f>
        <v>18319.95</v>
      </c>
      <c r="J9" t="s">
        <v>23</v>
      </c>
      <c r="K9" s="11">
        <f ca="1">SUMIFS(Operations[Amount],Operations[Month],$B$11,Operations[Category],expenses_11[[#This Row],[Category]])</f>
        <v>0</v>
      </c>
    </row>
    <row r="10" spans="1:11" x14ac:dyDescent="0.25">
      <c r="J10" t="s">
        <v>21</v>
      </c>
      <c r="K10" s="11">
        <f ca="1">SUMIFS(Operations[Amount],Operations[Month],$B$11,Operations[Category],expenses_11[[#This Row],[Category]])</f>
        <v>-208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11</v>
      </c>
      <c r="J11" t="s">
        <v>37</v>
      </c>
      <c r="K11" s="11">
        <f ca="1">SUBTOTAL(109,expenses_11[Total])</f>
        <v>-3500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SUMIFS(Operations[Amount],Operations[Month],$B$11,Operations[Type],balance_11[[#This Row],[Type]])</f>
        <v>-3500</v>
      </c>
    </row>
    <row r="15" spans="1:11" x14ac:dyDescent="0.25">
      <c r="A15" t="s">
        <v>33</v>
      </c>
      <c r="B15" s="11">
        <f ca="1">SUMIFS(Operations[Amount],Operations[Month],$B$11,Operations[Type],balance_11[[#This Row],[Type]])</f>
        <v>4900</v>
      </c>
    </row>
    <row r="16" spans="1:11" x14ac:dyDescent="0.25">
      <c r="A16" t="s">
        <v>29</v>
      </c>
      <c r="B16" s="11">
        <f ca="1">SUMIFS(Operations[Amount],Operations[Month],$B$11,Operations[Type],balance_11[[#This Row],[Type]])</f>
        <v>0</v>
      </c>
    </row>
    <row r="17" spans="1:2" x14ac:dyDescent="0.25">
      <c r="A17" t="s">
        <v>37</v>
      </c>
      <c r="B17" s="11">
        <f ca="1">SUBTOTAL(109,balance_11[Total])</f>
        <v>1400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75AA-4FE4-4FC7-AD45-8EF5D6F90BB5}">
  <dimension ref="A1:K17"/>
  <sheetViews>
    <sheetView zoomScale="175" zoomScaleNormal="175" workbookViewId="0">
      <selection activeCell="C5" sqref="C5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5703125" customWidth="1"/>
    <col min="4" max="4" width="11.5703125" customWidth="1"/>
    <col min="5" max="5" width="15.28515625" customWidth="1"/>
    <col min="7" max="7" width="12.85546875" bestFit="1" customWidth="1"/>
    <col min="8" max="8" width="11.7109375" bestFit="1" customWidth="1"/>
    <col min="10" max="10" width="15.140625" bestFit="1" customWidth="1"/>
    <col min="11" max="11" width="11.7109375" bestFit="1" customWidth="1"/>
  </cols>
  <sheetData>
    <row r="1" spans="1:11" x14ac:dyDescent="0.25">
      <c r="A1" t="s">
        <v>1</v>
      </c>
      <c r="B1" t="s">
        <v>2</v>
      </c>
      <c r="C1" s="11" t="s">
        <v>34</v>
      </c>
      <c r="D1" s="11" t="s">
        <v>35</v>
      </c>
      <c r="E1" s="11" t="s">
        <v>36</v>
      </c>
      <c r="G1" t="s">
        <v>3</v>
      </c>
      <c r="H1" t="s">
        <v>37</v>
      </c>
      <c r="J1" t="s">
        <v>3</v>
      </c>
      <c r="K1" t="s">
        <v>37</v>
      </c>
    </row>
    <row r="2" spans="1:11" x14ac:dyDescent="0.25">
      <c r="A2" t="s">
        <v>12</v>
      </c>
      <c r="B2" t="s">
        <v>8</v>
      </c>
      <c r="C2" s="11" cm="1">
        <f t="array" aca="1" ref="C2" ca="1">INDIRECT("flow_"&amp;$B$11-1&amp;"[@[Closing balance]]")</f>
        <v>548.5</v>
      </c>
      <c r="D2" s="11">
        <f ca="1">SUMIFS(Operations[Amount],Operations[Bank],flow_12[[#This Row],[Bank]],Operations[Product],flow_12[[#This Row],[Product]],Operations[Month],$B$11)</f>
        <v>0</v>
      </c>
      <c r="E2" s="11">
        <f ca="1">flow_12[[#This Row],[Opening balance]]+flow_12[[#This Row],[Operations]]</f>
        <v>548.5</v>
      </c>
      <c r="G2" t="s">
        <v>19</v>
      </c>
      <c r="H2" s="11">
        <f ca="1">SUMIFS(Operations[Amount],Operations[Month],$B$11,Operations[Category],incomes_12[[#This Row],[Category]])</f>
        <v>0</v>
      </c>
      <c r="J2" t="s">
        <v>11</v>
      </c>
      <c r="K2" s="11">
        <f ca="1">SUMIFS(Operations[Amount],Operations[Month],$B$11,Operations[Category],expenses_12[[#This Row],[Category]])</f>
        <v>-2000</v>
      </c>
    </row>
    <row r="3" spans="1:11" x14ac:dyDescent="0.25">
      <c r="A3" t="s">
        <v>12</v>
      </c>
      <c r="B3" t="s">
        <v>18</v>
      </c>
      <c r="C3" s="11" cm="1">
        <f t="array" aca="1" ref="C3" ca="1">INDIRECT("flow_"&amp;$B$11-1&amp;"[@[Closing balance]]")</f>
        <v>1086</v>
      </c>
      <c r="D3" s="11">
        <f ca="1">SUMIFS(Operations[Amount],Operations[Bank],flow_12[[#This Row],[Bank]],Operations[Product],flow_12[[#This Row],[Product]],Operations[Month],$B$11)</f>
        <v>0</v>
      </c>
      <c r="E3" s="11">
        <f ca="1">flow_12[[#This Row],[Opening balance]]+flow_12[[#This Row],[Operations]]</f>
        <v>1086</v>
      </c>
      <c r="G3" t="s">
        <v>27</v>
      </c>
      <c r="H3" s="11">
        <f ca="1">SUMIFS(Operations[Amount],Operations[Month],$B$11,Operations[Category],incomes_12[[#This Row],[Category]])</f>
        <v>0</v>
      </c>
      <c r="J3" t="s">
        <v>22</v>
      </c>
      <c r="K3" s="11">
        <f ca="1">SUMIFS(Operations[Amount],Operations[Month],$B$11,Operations[Category],expenses_12[[#This Row],[Category]])</f>
        <v>-120</v>
      </c>
    </row>
    <row r="4" spans="1:11" x14ac:dyDescent="0.25">
      <c r="A4" t="s">
        <v>7</v>
      </c>
      <c r="B4" t="s">
        <v>8</v>
      </c>
      <c r="C4" s="11" cm="1">
        <f t="array" aca="1" ref="C4" ca="1">INDIRECT("flow_"&amp;$B$11-1&amp;"[@[Closing balance]]")</f>
        <v>15696.94</v>
      </c>
      <c r="D4" s="11">
        <f ca="1">SUMIFS(Operations[Amount],Operations[Bank],flow_12[[#This Row],[Bank]],Operations[Product],flow_12[[#This Row],[Product]],Operations[Month],$B$11)</f>
        <v>1320</v>
      </c>
      <c r="E4" s="11">
        <f ca="1">flow_12[[#This Row],[Opening balance]]+flow_12[[#This Row],[Operations]]</f>
        <v>17016.940000000002</v>
      </c>
      <c r="G4" t="s">
        <v>30</v>
      </c>
      <c r="H4" s="11">
        <f ca="1">SUMIFS(Operations[Amount],Operations[Month],$B$11,Operations[Category],incomes_12[[#This Row],[Category]])</f>
        <v>2000</v>
      </c>
      <c r="J4" t="s">
        <v>20</v>
      </c>
      <c r="K4" s="11">
        <f ca="1">SUMIFS(Operations[Amount],Operations[Month],$B$11,Operations[Category],expenses_12[[#This Row],[Category]])</f>
        <v>-450</v>
      </c>
    </row>
    <row r="5" spans="1:11" x14ac:dyDescent="0.25">
      <c r="A5" t="s">
        <v>7</v>
      </c>
      <c r="B5" t="s">
        <v>13</v>
      </c>
      <c r="C5" s="11" cm="1">
        <f t="array" aca="1" ref="C5" ca="1">INDIRECT("flow_"&amp;$B$11-1&amp;"[@[Closing balance]]")</f>
        <v>0</v>
      </c>
      <c r="D5" s="11">
        <f ca="1">SUMIFS(Operations[Amount],Operations[Bank],flow_12[[#This Row],[Bank]],Operations[Product],flow_12[[#This Row],[Product]],Operations[Month],$B$11)</f>
        <v>0</v>
      </c>
      <c r="E5" s="11">
        <f ca="1">flow_12[[#This Row],[Opening balance]]+flow_12[[#This Row],[Operations]]</f>
        <v>0</v>
      </c>
      <c r="G5" t="s">
        <v>15</v>
      </c>
      <c r="H5" s="11">
        <f ca="1">SUMIFS(Operations[Amount],Operations[Month],$B$11,Operations[Category],incomes_12[[#This Row],[Category]])</f>
        <v>0</v>
      </c>
      <c r="J5" t="s">
        <v>9</v>
      </c>
      <c r="K5" s="11">
        <f ca="1">SUMIFS(Operations[Amount],Operations[Month],$B$11,Operations[Category],expenses_12[[#This Row],[Category]])</f>
        <v>-700</v>
      </c>
    </row>
    <row r="6" spans="1:11" x14ac:dyDescent="0.25">
      <c r="A6" t="s">
        <v>7</v>
      </c>
      <c r="B6" t="s">
        <v>16</v>
      </c>
      <c r="C6" s="11" cm="1">
        <f t="array" aca="1" ref="C6" ca="1">INDIRECT("flow_"&amp;$B$11-1&amp;"[@[Closing balance]]")</f>
        <v>0</v>
      </c>
      <c r="D6" s="11">
        <f ca="1">SUMIFS(Operations[Amount],Operations[Bank],flow_12[[#This Row],[Bank]],Operations[Product],flow_12[[#This Row],[Product]],Operations[Month],$B$11)</f>
        <v>0</v>
      </c>
      <c r="E6" s="11">
        <f ca="1">flow_12[[#This Row],[Opening balance]]+flow_12[[#This Row],[Operations]]</f>
        <v>0</v>
      </c>
      <c r="G6" t="s">
        <v>10</v>
      </c>
      <c r="H6" s="11">
        <f ca="1">SUMIFS(Operations[Amount],Operations[Month],$B$11,Operations[Category],incomes_12[[#This Row],[Category]])</f>
        <v>4500</v>
      </c>
      <c r="J6" t="s">
        <v>28</v>
      </c>
      <c r="K6" s="11">
        <f ca="1">SUMIFS(Operations[Amount],Operations[Month],$B$11,Operations[Category],expenses_12[[#This Row],[Category]])</f>
        <v>-10</v>
      </c>
    </row>
    <row r="7" spans="1:11" x14ac:dyDescent="0.25">
      <c r="A7" t="s">
        <v>24</v>
      </c>
      <c r="B7" t="s">
        <v>25</v>
      </c>
      <c r="C7" s="11" cm="1">
        <f t="array" aca="1" ref="C7" ca="1">INDIRECT("flow_"&amp;$B$11-1&amp;"[@[Closing balance]]")</f>
        <v>195.51</v>
      </c>
      <c r="D7" s="11">
        <f ca="1">SUMIFS(Operations[Amount],Operations[Bank],flow_12[[#This Row],[Bank]],Operations[Product],flow_12[[#This Row],[Product]],Operations[Month],$B$11)</f>
        <v>0</v>
      </c>
      <c r="E7" s="11">
        <f ca="1">flow_12[[#This Row],[Opening balance]]+flow_12[[#This Row],[Operations]]</f>
        <v>195.51</v>
      </c>
      <c r="G7" t="s">
        <v>31</v>
      </c>
      <c r="H7" s="11">
        <f ca="1">SUMIFS(Operations[Amount],Operations[Month],$B$11,Operations[Category],incomes_12[[#This Row],[Category]])</f>
        <v>0</v>
      </c>
      <c r="J7" t="s">
        <v>14</v>
      </c>
      <c r="K7" s="11">
        <f ca="1">SUMIFS(Operations[Amount],Operations[Month],$B$11,Operations[Category],expenses_12[[#This Row],[Category]])</f>
        <v>0</v>
      </c>
    </row>
    <row r="8" spans="1:11" x14ac:dyDescent="0.25">
      <c r="A8" t="s">
        <v>24</v>
      </c>
      <c r="B8" t="s">
        <v>26</v>
      </c>
      <c r="C8" s="11" cm="1">
        <f t="array" aca="1" ref="C8" ca="1">INDIRECT("flow_"&amp;$B$11-1&amp;"[@[Closing balance]]")</f>
        <v>793</v>
      </c>
      <c r="D8" s="11">
        <f ca="1">SUMIFS(Operations[Amount],Operations[Bank],flow_12[[#This Row],[Bank]],Operations[Product],flow_12[[#This Row],[Product]],Operations[Month],$B$11)</f>
        <v>1100</v>
      </c>
      <c r="E8" s="11">
        <f ca="1">flow_12[[#This Row],[Opening balance]]+flow_12[[#This Row],[Operations]]</f>
        <v>1893</v>
      </c>
      <c r="G8" t="s">
        <v>37</v>
      </c>
      <c r="H8" s="12">
        <f ca="1">SUBTOTAL(109,incomes_12[Total])</f>
        <v>6500</v>
      </c>
      <c r="J8" t="s">
        <v>17</v>
      </c>
      <c r="K8" s="11">
        <f ca="1">SUMIFS(Operations[Amount],Operations[Month],$B$11,Operations[Category],expenses_12[[#This Row],[Category]])</f>
        <v>-700</v>
      </c>
    </row>
    <row r="9" spans="1:11" x14ac:dyDescent="0.25">
      <c r="A9" t="s">
        <v>37</v>
      </c>
      <c r="C9" s="11">
        <f ca="1">SUBTOTAL(109,flow_12[Opening balance])</f>
        <v>18319.95</v>
      </c>
      <c r="D9" s="11">
        <f ca="1">SUBTOTAL(109,flow_12[Operations])</f>
        <v>2420</v>
      </c>
      <c r="E9" s="11">
        <f ca="1">SUBTOTAL(109,flow_12[Closing balance])</f>
        <v>20739.95</v>
      </c>
      <c r="J9" t="s">
        <v>23</v>
      </c>
      <c r="K9" s="11">
        <f ca="1">SUMIFS(Operations[Amount],Operations[Month],$B$11,Operations[Category],expenses_12[[#This Row],[Category]])</f>
        <v>-100</v>
      </c>
    </row>
    <row r="10" spans="1:11" x14ac:dyDescent="0.25">
      <c r="J10" t="s">
        <v>21</v>
      </c>
      <c r="K10" s="11">
        <f ca="1">SUMIFS(Operations[Amount],Operations[Month],$B$11,Operations[Category],expenses_12[[#This Row],[Category]])</f>
        <v>0</v>
      </c>
    </row>
    <row r="11" spans="1:11" x14ac:dyDescent="0.25">
      <c r="A11" s="13" t="s">
        <v>6</v>
      </c>
      <c r="B11" s="15" t="str" cm="1">
        <f t="array" aca="1" ref="B11" ca="1">_xlfn.TEXTAFTER(CELL("filename",A1),"]")</f>
        <v>12</v>
      </c>
      <c r="J11" t="s">
        <v>37</v>
      </c>
      <c r="K11" s="11">
        <f ca="1">SUBTOTAL(109,expenses_12[Total])</f>
        <v>-4080</v>
      </c>
    </row>
    <row r="13" spans="1:11" x14ac:dyDescent="0.25">
      <c r="A13" t="s">
        <v>4</v>
      </c>
      <c r="B13" t="s">
        <v>37</v>
      </c>
    </row>
    <row r="14" spans="1:11" x14ac:dyDescent="0.25">
      <c r="A14" t="s">
        <v>32</v>
      </c>
      <c r="B14" s="11">
        <f ca="1">SUMIFS(Operations[Amount],Operations[Month],$B$11,Operations[Type],balance_12[[#This Row],[Type]])</f>
        <v>-4080</v>
      </c>
    </row>
    <row r="15" spans="1:11" x14ac:dyDescent="0.25">
      <c r="A15" t="s">
        <v>33</v>
      </c>
      <c r="B15" s="11">
        <f ca="1">SUMIFS(Operations[Amount],Operations[Month],$B$11,Operations[Type],balance_12[[#This Row],[Type]])</f>
        <v>6500</v>
      </c>
    </row>
    <row r="16" spans="1:11" x14ac:dyDescent="0.25">
      <c r="A16" t="s">
        <v>29</v>
      </c>
      <c r="B16" s="11">
        <f ca="1">SUMIFS(Operations[Amount],Operations[Month],$B$11,Operations[Type],balance_12[[#This Row],[Type]])</f>
        <v>0</v>
      </c>
    </row>
    <row r="17" spans="1:2" x14ac:dyDescent="0.25">
      <c r="A17" t="s">
        <v>37</v>
      </c>
      <c r="B17" s="11">
        <f ca="1">SUBTOTAL(109,balance_12[Total])</f>
        <v>2420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7F5CC3-C091-49DD-80B2-989C43C879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operations</vt:lpstr>
      <vt:lpstr>dicionary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RisSetupInstall</cp:lastModifiedBy>
  <cp:revision/>
  <dcterms:created xsi:type="dcterms:W3CDTF">2024-12-14T15:11:08Z</dcterms:created>
  <dcterms:modified xsi:type="dcterms:W3CDTF">2026-01-16T12:30:04Z</dcterms:modified>
  <cp:category/>
  <cp:contentStatus/>
</cp:coreProperties>
</file>